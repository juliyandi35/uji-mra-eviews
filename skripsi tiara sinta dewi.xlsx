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20" windowWidth="23715" windowHeight="9495" firstSheet="1" activeTab="3"/>
  </bookViews>
  <sheets>
    <sheet name="Populasi" sheetId="1" r:id="rId1"/>
    <sheet name="IPO sebelum 2018" sheetId="2" r:id="rId2"/>
    <sheet name="Data (Hitung)" sheetId="3" r:id="rId3"/>
    <sheet name="Data Fix" sheetId="4" r:id="rId4"/>
  </sheets>
  <definedNames>
    <definedName name="_xlnm._FilterDatabase" localSheetId="0" hidden="1">Populasi!$A$1:$G$133</definedName>
  </definedNames>
  <calcPr calcId="125725"/>
</workbook>
</file>

<file path=xl/calcChain.xml><?xml version="1.0" encoding="utf-8"?>
<calcChain xmlns="http://schemas.openxmlformats.org/spreadsheetml/2006/main">
  <c r="G61" i="4"/>
  <c r="F61"/>
  <c r="E61"/>
  <c r="D61"/>
  <c r="G60"/>
  <c r="F60"/>
  <c r="E60"/>
  <c r="D60"/>
  <c r="G59"/>
  <c r="F59"/>
  <c r="E59"/>
  <c r="D59"/>
  <c r="G58"/>
  <c r="F58"/>
  <c r="E58"/>
  <c r="D58"/>
  <c r="G57"/>
  <c r="F57"/>
  <c r="E57"/>
  <c r="D57"/>
  <c r="G71"/>
  <c r="F71"/>
  <c r="E71"/>
  <c r="D71"/>
  <c r="G70"/>
  <c r="F70"/>
  <c r="E70"/>
  <c r="D70"/>
  <c r="G69"/>
  <c r="F69"/>
  <c r="E69"/>
  <c r="D69"/>
  <c r="G68"/>
  <c r="F68"/>
  <c r="E68"/>
  <c r="D68"/>
  <c r="G67"/>
  <c r="F67"/>
  <c r="E67"/>
  <c r="D67"/>
  <c r="G66"/>
  <c r="F66"/>
  <c r="E66"/>
  <c r="D66"/>
  <c r="G65"/>
  <c r="F65"/>
  <c r="E65"/>
  <c r="D65"/>
  <c r="G64"/>
  <c r="F64"/>
  <c r="E64"/>
  <c r="D64"/>
  <c r="G63"/>
  <c r="F63"/>
  <c r="E63"/>
  <c r="D63"/>
  <c r="G62"/>
  <c r="F62"/>
  <c r="E62"/>
  <c r="D62"/>
  <c r="G56"/>
  <c r="F56"/>
  <c r="E56"/>
  <c r="D56"/>
  <c r="G55"/>
  <c r="F55"/>
  <c r="E55"/>
  <c r="D55"/>
  <c r="G54"/>
  <c r="F54"/>
  <c r="E54"/>
  <c r="D54"/>
  <c r="G53"/>
  <c r="F53"/>
  <c r="E53"/>
  <c r="D53"/>
  <c r="G52"/>
  <c r="F52"/>
  <c r="E52"/>
  <c r="D52"/>
  <c r="G51"/>
  <c r="F51"/>
  <c r="E51"/>
  <c r="D51"/>
  <c r="G50"/>
  <c r="F50"/>
  <c r="E50"/>
  <c r="D50"/>
  <c r="G49"/>
  <c r="F49"/>
  <c r="E49"/>
  <c r="D49"/>
  <c r="G48"/>
  <c r="F48"/>
  <c r="E48"/>
  <c r="D48"/>
  <c r="G47"/>
  <c r="F47"/>
  <c r="E47"/>
  <c r="D47"/>
  <c r="K46"/>
  <c r="G46"/>
  <c r="F46"/>
  <c r="E46"/>
  <c r="D46"/>
  <c r="K45"/>
  <c r="G45"/>
  <c r="F45"/>
  <c r="E45"/>
  <c r="D45"/>
  <c r="K44"/>
  <c r="G44"/>
  <c r="F44"/>
  <c r="E44"/>
  <c r="D44"/>
  <c r="K43"/>
  <c r="G43"/>
  <c r="F43"/>
  <c r="E43"/>
  <c r="D43"/>
  <c r="K42"/>
  <c r="G42"/>
  <c r="F42"/>
  <c r="E42"/>
  <c r="D42"/>
  <c r="G41"/>
  <c r="F41"/>
  <c r="E41"/>
  <c r="D41"/>
  <c r="G40"/>
  <c r="F40"/>
  <c r="E40"/>
  <c r="D40"/>
  <c r="G39"/>
  <c r="F39"/>
  <c r="E39"/>
  <c r="D39"/>
  <c r="G38"/>
  <c r="F38"/>
  <c r="E38"/>
  <c r="D38"/>
  <c r="G37"/>
  <c r="F37"/>
  <c r="E37"/>
  <c r="D37"/>
  <c r="G36"/>
  <c r="F36"/>
  <c r="E36"/>
  <c r="D36"/>
  <c r="G35"/>
  <c r="F35"/>
  <c r="E35"/>
  <c r="D35"/>
  <c r="G34"/>
  <c r="F34"/>
  <c r="E34"/>
  <c r="D34"/>
  <c r="G33"/>
  <c r="F33"/>
  <c r="E33"/>
  <c r="D33"/>
  <c r="G32"/>
  <c r="F32"/>
  <c r="E32"/>
  <c r="D32"/>
  <c r="G31"/>
  <c r="F31"/>
  <c r="E31"/>
  <c r="D31"/>
  <c r="G30"/>
  <c r="F30"/>
  <c r="E30"/>
  <c r="D30"/>
  <c r="G29"/>
  <c r="F29"/>
  <c r="E29"/>
  <c r="D29"/>
  <c r="G28"/>
  <c r="F28"/>
  <c r="E28"/>
  <c r="D28"/>
  <c r="G27"/>
  <c r="F27"/>
  <c r="E27"/>
  <c r="D27"/>
  <c r="G26"/>
  <c r="F26"/>
  <c r="E26"/>
  <c r="D26"/>
  <c r="G25"/>
  <c r="F25"/>
  <c r="E25"/>
  <c r="D25"/>
  <c r="G24"/>
  <c r="F24"/>
  <c r="E24"/>
  <c r="D24"/>
  <c r="G23"/>
  <c r="F23"/>
  <c r="E23"/>
  <c r="D23"/>
  <c r="G22"/>
  <c r="F22"/>
  <c r="E22"/>
  <c r="D22"/>
  <c r="G21"/>
  <c r="F21"/>
  <c r="E21"/>
  <c r="D21"/>
  <c r="G20"/>
  <c r="F20"/>
  <c r="E20"/>
  <c r="D20"/>
  <c r="G19"/>
  <c r="F19"/>
  <c r="E19"/>
  <c r="D19"/>
  <c r="G18"/>
  <c r="F18"/>
  <c r="E18"/>
  <c r="D18"/>
  <c r="G17"/>
  <c r="F17"/>
  <c r="E17"/>
  <c r="D17"/>
  <c r="G16"/>
  <c r="F16"/>
  <c r="E16"/>
  <c r="D16"/>
  <c r="G15"/>
  <c r="F15"/>
  <c r="E15"/>
  <c r="D15"/>
  <c r="G14"/>
  <c r="F14"/>
  <c r="E14"/>
  <c r="D14"/>
  <c r="G13"/>
  <c r="F13"/>
  <c r="E13"/>
  <c r="D13"/>
  <c r="G12"/>
  <c r="F12"/>
  <c r="E12"/>
  <c r="D12"/>
  <c r="K11"/>
  <c r="G11"/>
  <c r="F11"/>
  <c r="E11"/>
  <c r="D11"/>
  <c r="K10"/>
  <c r="G10"/>
  <c r="F10"/>
  <c r="E10"/>
  <c r="D10"/>
  <c r="K9"/>
  <c r="G9"/>
  <c r="F9"/>
  <c r="E9"/>
  <c r="D9"/>
  <c r="K8"/>
  <c r="G8"/>
  <c r="F8"/>
  <c r="E8"/>
  <c r="D8"/>
  <c r="K7"/>
  <c r="G7"/>
  <c r="F7"/>
  <c r="E7"/>
  <c r="D7"/>
  <c r="G6"/>
  <c r="F6"/>
  <c r="E6"/>
  <c r="D6"/>
  <c r="G5"/>
  <c r="F5"/>
  <c r="E5"/>
  <c r="D5"/>
  <c r="G4"/>
  <c r="F4"/>
  <c r="E4"/>
  <c r="D4"/>
  <c r="G3"/>
  <c r="F3"/>
  <c r="E3"/>
  <c r="D3"/>
  <c r="G2"/>
  <c r="F2"/>
  <c r="E2"/>
  <c r="D2"/>
  <c r="K46" i="3"/>
  <c r="K45"/>
  <c r="K44"/>
  <c r="D44" s="1"/>
  <c r="K43"/>
  <c r="K42"/>
  <c r="K11"/>
  <c r="D11" s="1"/>
  <c r="K10"/>
  <c r="D10" s="1"/>
  <c r="K9"/>
  <c r="K8"/>
  <c r="D8" s="1"/>
  <c r="K7"/>
  <c r="D7"/>
  <c r="F59"/>
  <c r="D3"/>
  <c r="E3"/>
  <c r="F3"/>
  <c r="G3"/>
  <c r="D4"/>
  <c r="E4"/>
  <c r="F4"/>
  <c r="G4"/>
  <c r="D5"/>
  <c r="E5"/>
  <c r="F5"/>
  <c r="G5"/>
  <c r="D6"/>
  <c r="E6"/>
  <c r="F6"/>
  <c r="G6"/>
  <c r="E7"/>
  <c r="F7"/>
  <c r="G7"/>
  <c r="E8"/>
  <c r="F8"/>
  <c r="G8"/>
  <c r="D9"/>
  <c r="E9"/>
  <c r="F9"/>
  <c r="G9"/>
  <c r="E10"/>
  <c r="F10"/>
  <c r="G10"/>
  <c r="E11"/>
  <c r="F11"/>
  <c r="G11"/>
  <c r="D12"/>
  <c r="E12"/>
  <c r="F12"/>
  <c r="G12"/>
  <c r="D13"/>
  <c r="E13"/>
  <c r="F13"/>
  <c r="G13"/>
  <c r="D14"/>
  <c r="E14"/>
  <c r="F14"/>
  <c r="G14"/>
  <c r="D15"/>
  <c r="E15"/>
  <c r="F15"/>
  <c r="G15"/>
  <c r="D16"/>
  <c r="E16"/>
  <c r="F16"/>
  <c r="G16"/>
  <c r="D17"/>
  <c r="E17"/>
  <c r="F17"/>
  <c r="G17"/>
  <c r="D18"/>
  <c r="E18"/>
  <c r="F18"/>
  <c r="G18"/>
  <c r="D19"/>
  <c r="E19"/>
  <c r="F19"/>
  <c r="G19"/>
  <c r="D20"/>
  <c r="E20"/>
  <c r="F20"/>
  <c r="G20"/>
  <c r="D21"/>
  <c r="E21"/>
  <c r="F21"/>
  <c r="G21"/>
  <c r="D22"/>
  <c r="E22"/>
  <c r="F22"/>
  <c r="G22"/>
  <c r="D23"/>
  <c r="E23"/>
  <c r="F23"/>
  <c r="G23"/>
  <c r="D24"/>
  <c r="E24"/>
  <c r="F24"/>
  <c r="G24"/>
  <c r="D25"/>
  <c r="E25"/>
  <c r="F25"/>
  <c r="G25"/>
  <c r="D26"/>
  <c r="E26"/>
  <c r="F26"/>
  <c r="G26"/>
  <c r="D27"/>
  <c r="E27"/>
  <c r="F27"/>
  <c r="G27"/>
  <c r="D28"/>
  <c r="E28"/>
  <c r="F28"/>
  <c r="G28"/>
  <c r="D29"/>
  <c r="E29"/>
  <c r="F29"/>
  <c r="G29"/>
  <c r="D30"/>
  <c r="E30"/>
  <c r="F30"/>
  <c r="G30"/>
  <c r="D31"/>
  <c r="E31"/>
  <c r="F31"/>
  <c r="G31"/>
  <c r="D32"/>
  <c r="E32"/>
  <c r="F32"/>
  <c r="G32"/>
  <c r="D33"/>
  <c r="E33"/>
  <c r="F33"/>
  <c r="G33"/>
  <c r="D34"/>
  <c r="E34"/>
  <c r="F34"/>
  <c r="G34"/>
  <c r="D35"/>
  <c r="E35"/>
  <c r="F35"/>
  <c r="G35"/>
  <c r="D36"/>
  <c r="E36"/>
  <c r="F36"/>
  <c r="G36"/>
  <c r="D37"/>
  <c r="E37"/>
  <c r="F37"/>
  <c r="G37"/>
  <c r="D38"/>
  <c r="E38"/>
  <c r="F38"/>
  <c r="G38"/>
  <c r="D39"/>
  <c r="E39"/>
  <c r="F39"/>
  <c r="G39"/>
  <c r="D40"/>
  <c r="E40"/>
  <c r="F40"/>
  <c r="G40"/>
  <c r="D41"/>
  <c r="E41"/>
  <c r="F41"/>
  <c r="G41"/>
  <c r="D42"/>
  <c r="E42"/>
  <c r="F42"/>
  <c r="G42"/>
  <c r="D43"/>
  <c r="E43"/>
  <c r="F43"/>
  <c r="G43"/>
  <c r="E44"/>
  <c r="F44"/>
  <c r="G44"/>
  <c r="D45"/>
  <c r="E45"/>
  <c r="F45"/>
  <c r="G45"/>
  <c r="D46"/>
  <c r="E46"/>
  <c r="F46"/>
  <c r="G46"/>
  <c r="D47"/>
  <c r="E47"/>
  <c r="F47"/>
  <c r="G47"/>
  <c r="D48"/>
  <c r="E48"/>
  <c r="F48"/>
  <c r="G48"/>
  <c r="D49"/>
  <c r="E49"/>
  <c r="F49"/>
  <c r="G49"/>
  <c r="D50"/>
  <c r="E50"/>
  <c r="F50"/>
  <c r="G50"/>
  <c r="D51"/>
  <c r="E51"/>
  <c r="F51"/>
  <c r="G51"/>
  <c r="D52"/>
  <c r="E52"/>
  <c r="F52"/>
  <c r="G52"/>
  <c r="D53"/>
  <c r="E53"/>
  <c r="F53"/>
  <c r="G53"/>
  <c r="D54"/>
  <c r="E54"/>
  <c r="F54"/>
  <c r="G54"/>
  <c r="D55"/>
  <c r="E55"/>
  <c r="F55"/>
  <c r="G55"/>
  <c r="D56"/>
  <c r="E56"/>
  <c r="F56"/>
  <c r="G56"/>
  <c r="D57"/>
  <c r="E57"/>
  <c r="F57"/>
  <c r="G57"/>
  <c r="D58"/>
  <c r="E58"/>
  <c r="F58"/>
  <c r="G58"/>
  <c r="D59"/>
  <c r="E59"/>
  <c r="G59"/>
  <c r="D60"/>
  <c r="E60"/>
  <c r="F60"/>
  <c r="G60"/>
  <c r="D61"/>
  <c r="E61"/>
  <c r="F61"/>
  <c r="G61"/>
  <c r="D62"/>
  <c r="E62"/>
  <c r="F62"/>
  <c r="G62"/>
  <c r="D63"/>
  <c r="E63"/>
  <c r="F63"/>
  <c r="G63"/>
  <c r="D64"/>
  <c r="E64"/>
  <c r="F64"/>
  <c r="G64"/>
  <c r="D65"/>
  <c r="E65"/>
  <c r="F65"/>
  <c r="G65"/>
  <c r="D66"/>
  <c r="E66"/>
  <c r="F66"/>
  <c r="G66"/>
  <c r="D67"/>
  <c r="E67"/>
  <c r="F67"/>
  <c r="G67"/>
  <c r="D68"/>
  <c r="E68"/>
  <c r="F68"/>
  <c r="G68"/>
  <c r="D69"/>
  <c r="E69"/>
  <c r="F69"/>
  <c r="G69"/>
  <c r="D70"/>
  <c r="E70"/>
  <c r="F70"/>
  <c r="G70"/>
  <c r="D71"/>
  <c r="E71"/>
  <c r="F71"/>
  <c r="G71"/>
  <c r="G2"/>
  <c r="F2"/>
  <c r="E2"/>
  <c r="D2"/>
</calcChain>
</file>

<file path=xl/sharedStrings.xml><?xml version="1.0" encoding="utf-8"?>
<sst xmlns="http://schemas.openxmlformats.org/spreadsheetml/2006/main" count="430" uniqueCount="183">
  <si>
    <t>Emiten</t>
  </si>
  <si>
    <t>Berdiri</t>
  </si>
  <si>
    <t>Tanggal IPO</t>
  </si>
  <si>
    <t>Saham Beredar</t>
  </si>
  <si>
    <t>Kapitalisasi</t>
  </si>
  <si>
    <t>P/E</t>
  </si>
  <si>
    <t>BV</t>
  </si>
  <si>
    <t>ADES</t>
  </si>
  <si>
    <t>589,90 Jt</t>
  </si>
  <si>
    <t>4,37 T</t>
  </si>
  <si>
    <t>11,96x</t>
  </si>
  <si>
    <t>AISA</t>
  </si>
  <si>
    <t>9,31 M</t>
  </si>
  <si>
    <t>1,34 T</t>
  </si>
  <si>
    <t>-21,49x</t>
  </si>
  <si>
    <t>ALTO</t>
  </si>
  <si>
    <t>2,19 M</t>
  </si>
  <si>
    <t>109,59 M</t>
  </si>
  <si>
    <t>20,66x</t>
  </si>
  <si>
    <t>BEER</t>
  </si>
  <si>
    <t>4 M</t>
  </si>
  <si>
    <t>94,62x</t>
  </si>
  <si>
    <t>BOBA</t>
  </si>
  <si>
    <t>1,16 M</t>
  </si>
  <si>
    <t>194,17 M</t>
  </si>
  <si>
    <t>18,14x</t>
  </si>
  <si>
    <t>BTEK</t>
  </si>
  <si>
    <t>46,28 M</t>
  </si>
  <si>
    <t>2,31 T</t>
  </si>
  <si>
    <t>-17,36x</t>
  </si>
  <si>
    <t>BUAH</t>
  </si>
  <si>
    <t>1 M</t>
  </si>
  <si>
    <t>1,24 T</t>
  </si>
  <si>
    <t>46,62x</t>
  </si>
  <si>
    <t>BUDI</t>
  </si>
  <si>
    <t>4,50 M</t>
  </si>
  <si>
    <t>917,80 M</t>
  </si>
  <si>
    <t>10,31x</t>
  </si>
  <si>
    <t>CAMP</t>
  </si>
  <si>
    <t>5,88 M</t>
  </si>
  <si>
    <t>1,88 T</t>
  </si>
  <si>
    <t>14,63x</t>
  </si>
  <si>
    <t>CEKA</t>
  </si>
  <si>
    <t>595 Jt</t>
  </si>
  <si>
    <t>1,20 T</t>
  </si>
  <si>
    <t>5,88x</t>
  </si>
  <si>
    <t>CLEO</t>
  </si>
  <si>
    <t>12 M</t>
  </si>
  <si>
    <t>5,71 T</t>
  </si>
  <si>
    <t>28,61x</t>
  </si>
  <si>
    <t>CMRY</t>
  </si>
  <si>
    <t>7,93 M</t>
  </si>
  <si>
    <t>37,37 T</t>
  </si>
  <si>
    <t>32,59x</t>
  </si>
  <si>
    <t>COCO</t>
  </si>
  <si>
    <t>889,86 Jt</t>
  </si>
  <si>
    <t>215,35 M</t>
  </si>
  <si>
    <t>23,5x</t>
  </si>
  <si>
    <t>DLTA</t>
  </si>
  <si>
    <t>800,66 Jt</t>
  </si>
  <si>
    <t>3,10 T</t>
  </si>
  <si>
    <t>12,83x</t>
  </si>
  <si>
    <t>DMND</t>
  </si>
  <si>
    <t>9,47 M</t>
  </si>
  <si>
    <t>7,57 T</t>
  </si>
  <si>
    <t>16,66x</t>
  </si>
  <si>
    <t>ENZO</t>
  </si>
  <si>
    <t>2,16 M</t>
  </si>
  <si>
    <t>108,13 M</t>
  </si>
  <si>
    <t>21,1x</t>
  </si>
  <si>
    <t>FOOD</t>
  </si>
  <si>
    <t>650 Jt</t>
  </si>
  <si>
    <t>65 M</t>
  </si>
  <si>
    <t>-3,55x</t>
  </si>
  <si>
    <t>GOOD</t>
  </si>
  <si>
    <t>36,90 M</t>
  </si>
  <si>
    <t>16,90 T</t>
  </si>
  <si>
    <t>45,66x</t>
  </si>
  <si>
    <t>HOKI</t>
  </si>
  <si>
    <t>9,68 M</t>
  </si>
  <si>
    <t>861,32 M</t>
  </si>
  <si>
    <t>445x</t>
  </si>
  <si>
    <t>IBOS</t>
  </si>
  <si>
    <t>8,04 M</t>
  </si>
  <si>
    <t>2,03 T</t>
  </si>
  <si>
    <t>466,67x</t>
  </si>
  <si>
    <t>ICBP</t>
  </si>
  <si>
    <t>11,66 M</t>
  </si>
  <si>
    <t>118,95 T</t>
  </si>
  <si>
    <t>27,75x</t>
  </si>
  <si>
    <t>IIKP</t>
  </si>
  <si>
    <t>33,60 M</t>
  </si>
  <si>
    <t>1,68 T</t>
  </si>
  <si>
    <t>-22,62x</t>
  </si>
  <si>
    <t>IKAN</t>
  </si>
  <si>
    <t>833,33 Jt</t>
  </si>
  <si>
    <t>47,50 M</t>
  </si>
  <si>
    <t>0,42x</t>
  </si>
  <si>
    <t>INDF</t>
  </si>
  <si>
    <t>8,78 M</t>
  </si>
  <si>
    <t>55,76 T</t>
  </si>
  <si>
    <t>8,66x</t>
  </si>
  <si>
    <t>KEJU</t>
  </si>
  <si>
    <t>1,50 M</t>
  </si>
  <si>
    <t>2,00 T</t>
  </si>
  <si>
    <t>12,66x</t>
  </si>
  <si>
    <t>MGNA</t>
  </si>
  <si>
    <t>3,41 M</t>
  </si>
  <si>
    <t>170,52 M</t>
  </si>
  <si>
    <t>-29,94x</t>
  </si>
  <si>
    <t>MLBI</t>
  </si>
  <si>
    <t>2,11 M</t>
  </si>
  <si>
    <t>18,96 T</t>
  </si>
  <si>
    <t>19,37x</t>
  </si>
  <si>
    <t>MYOR</t>
  </si>
  <si>
    <t>22,36 M</t>
  </si>
  <si>
    <t>58,13 T</t>
  </si>
  <si>
    <t>43,87x</t>
  </si>
  <si>
    <t>NAYZ</t>
  </si>
  <si>
    <t>2,55 M</t>
  </si>
  <si>
    <t>313,65 M</t>
  </si>
  <si>
    <t>0x</t>
  </si>
  <si>
    <t>PANI</t>
  </si>
  <si>
    <t>13,53 M</t>
  </si>
  <si>
    <t>15,76 T</t>
  </si>
  <si>
    <t>1.120,19x</t>
  </si>
  <si>
    <t>PCAR</t>
  </si>
  <si>
    <t>1,17 M</t>
  </si>
  <si>
    <t>58,33 M</t>
  </si>
  <si>
    <t>31,25x</t>
  </si>
  <si>
    <t>PMMP</t>
  </si>
  <si>
    <t>2,35 M</t>
  </si>
  <si>
    <t>743,55 M</t>
  </si>
  <si>
    <t>5,23x</t>
  </si>
  <si>
    <t>PSDN</t>
  </si>
  <si>
    <t>1,44 M</t>
  </si>
  <si>
    <t>83,52 M</t>
  </si>
  <si>
    <t>-2,01x</t>
  </si>
  <si>
    <t>PSGO</t>
  </si>
  <si>
    <t>18,85 M</t>
  </si>
  <si>
    <t>2,68 T</t>
  </si>
  <si>
    <t>5,47x</t>
  </si>
  <si>
    <t>Lengkap</t>
  </si>
  <si>
    <t>Link Lapkeu</t>
  </si>
  <si>
    <t>Tahun Lapkeu</t>
  </si>
  <si>
    <t xml:space="preserve">https://britama.com/?s=budi+starch </t>
  </si>
  <si>
    <t>https://britama.com/?s=campina</t>
  </si>
  <si>
    <t>https://britama.com/?s=btek#</t>
  </si>
  <si>
    <t>https://britama.com/?s=alto#</t>
  </si>
  <si>
    <t>https://britama.com/?s=ades#</t>
  </si>
  <si>
    <t>https://britama.com/?s=ceka#</t>
  </si>
  <si>
    <t>https://britama.com/?s=cleo#</t>
  </si>
  <si>
    <t>https://britama.com/?s=dlta#</t>
  </si>
  <si>
    <t>https://britama.com/?s=hoki#</t>
  </si>
  <si>
    <t>https://britama.com/?s=icbp#</t>
  </si>
  <si>
    <t>https://britama.com/?s=aisa#</t>
  </si>
  <si>
    <t>https://britama.com/?s=iikp#</t>
  </si>
  <si>
    <t>https://britama.com/?s=indf#</t>
  </si>
  <si>
    <t>https://britama.com/?s=psdn#</t>
  </si>
  <si>
    <t>https://britama.com/?s=mgna#</t>
  </si>
  <si>
    <t>https://britama.com/?s=mlbi#</t>
  </si>
  <si>
    <t>https://britama.com/?s=myor#</t>
  </si>
  <si>
    <t>https://britama.com/?s=pcar#</t>
  </si>
  <si>
    <t>Saham</t>
  </si>
  <si>
    <t>Tahun</t>
  </si>
  <si>
    <t>Man_Laba</t>
  </si>
  <si>
    <t>Leverage</t>
  </si>
  <si>
    <t>Ukuran</t>
  </si>
  <si>
    <t>Dividen</t>
  </si>
  <si>
    <t>Kinerja</t>
  </si>
  <si>
    <t>NDA</t>
  </si>
  <si>
    <t>Total Hutang</t>
  </si>
  <si>
    <t>Total Modal</t>
  </si>
  <si>
    <t>Total Aset</t>
  </si>
  <si>
    <t>Dividen per saham</t>
  </si>
  <si>
    <t>Laba per saham</t>
  </si>
  <si>
    <t>Laba bersih</t>
  </si>
  <si>
    <t>ROTI</t>
  </si>
  <si>
    <t>SKBM</t>
  </si>
  <si>
    <t>STTP</t>
  </si>
  <si>
    <t>TBLA</t>
  </si>
  <si>
    <t>ULTJ</t>
  </si>
  <si>
    <t>TAC/Ait-1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</si>
</sst>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0.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1" fillId="0" borderId="0" xfId="1" applyAlignment="1" applyProtection="1"/>
    <xf numFmtId="0" fontId="1" fillId="0" borderId="2" xfId="1" applyFill="1" applyBorder="1" applyAlignment="1" applyProtection="1"/>
    <xf numFmtId="164" fontId="0" fillId="0" borderId="0" xfId="2" applyNumberFormat="1" applyFont="1" applyBorder="1" applyAlignment="1"/>
    <xf numFmtId="165" fontId="0" fillId="0" borderId="0" xfId="2" applyNumberFormat="1" applyFont="1" applyBorder="1" applyAlignment="1"/>
    <xf numFmtId="0" fontId="0" fillId="0" borderId="0" xfId="0" applyFont="1" applyBorder="1" applyAlignment="1"/>
    <xf numFmtId="0" fontId="0" fillId="0" borderId="0" xfId="0" applyFont="1" applyBorder="1" applyAlignment="1">
      <alignment horizontal="right" vertical="top"/>
    </xf>
    <xf numFmtId="165" fontId="0" fillId="0" borderId="0" xfId="0" applyNumberFormat="1" applyFont="1" applyBorder="1" applyAlignment="1">
      <alignment horizontal="right" vertical="top"/>
    </xf>
    <xf numFmtId="165" fontId="0" fillId="0" borderId="0" xfId="2" applyNumberFormat="1" applyFont="1" applyBorder="1" applyAlignment="1">
      <alignment horizontal="right" vertical="top"/>
    </xf>
    <xf numFmtId="164" fontId="0" fillId="0" borderId="0" xfId="2" applyNumberFormat="1" applyFont="1" applyBorder="1" applyAlignment="1">
      <alignment horizontal="right" vertical="top"/>
    </xf>
    <xf numFmtId="0" fontId="0" fillId="0" borderId="3" xfId="0" applyFont="1" applyBorder="1" applyAlignment="1">
      <alignment horizontal="center" vertical="top"/>
    </xf>
    <xf numFmtId="0" fontId="0" fillId="0" borderId="5" xfId="0" applyFont="1" applyBorder="1" applyAlignment="1">
      <alignment horizontal="center" vertical="top"/>
    </xf>
    <xf numFmtId="0" fontId="0" fillId="0" borderId="4" xfId="0" applyFont="1" applyBorder="1" applyAlignment="1">
      <alignment horizontal="center" vertical="top"/>
    </xf>
    <xf numFmtId="0" fontId="0" fillId="0" borderId="6" xfId="0" applyFont="1" applyBorder="1" applyAlignment="1">
      <alignment horizontal="center" vertical="top"/>
    </xf>
    <xf numFmtId="3" fontId="0" fillId="0" borderId="0" xfId="0" applyNumberFormat="1" applyFont="1" applyBorder="1" applyAlignment="1">
      <alignment horizontal="right" vertical="top"/>
    </xf>
    <xf numFmtId="0" fontId="0" fillId="0" borderId="0" xfId="0" applyFont="1" applyBorder="1" applyAlignment="1">
      <alignment horizontal="center" vertical="top"/>
    </xf>
    <xf numFmtId="165" fontId="0" fillId="0" borderId="3" xfId="0" applyNumberFormat="1" applyFont="1" applyBorder="1" applyAlignment="1">
      <alignment horizontal="right" vertical="top" wrapText="1"/>
    </xf>
    <xf numFmtId="165" fontId="0" fillId="0" borderId="4" xfId="0" applyNumberFormat="1" applyFont="1" applyBorder="1" applyAlignment="1">
      <alignment horizontal="right" vertical="top"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center"/>
    </xf>
    <xf numFmtId="165" fontId="0" fillId="0" borderId="0" xfId="2" applyNumberFormat="1" applyFont="1" applyBorder="1" applyAlignment="1">
      <alignment vertical="center"/>
    </xf>
    <xf numFmtId="164" fontId="0" fillId="0" borderId="0" xfId="2" applyNumberFormat="1" applyFont="1" applyBorder="1" applyAlignment="1">
      <alignment vertical="center"/>
    </xf>
    <xf numFmtId="0" fontId="0" fillId="0" borderId="0" xfId="0" applyFont="1" applyBorder="1" applyAlignment="1">
      <alignment horizontal="right" vertical="center"/>
    </xf>
    <xf numFmtId="165" fontId="0" fillId="0" borderId="0" xfId="0" applyNumberFormat="1" applyFont="1" applyBorder="1" applyAlignment="1">
      <alignment horizontal="right" vertical="center"/>
    </xf>
    <xf numFmtId="165" fontId="0" fillId="0" borderId="0" xfId="2" applyNumberFormat="1" applyFont="1" applyBorder="1" applyAlignment="1">
      <alignment horizontal="right" vertical="center"/>
    </xf>
    <xf numFmtId="164" fontId="0" fillId="0" borderId="0" xfId="2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center" vertical="center"/>
    </xf>
    <xf numFmtId="3" fontId="0" fillId="0" borderId="0" xfId="0" applyNumberFormat="1" applyFont="1" applyBorder="1" applyAlignment="1">
      <alignment horizontal="right" vertical="center"/>
    </xf>
    <xf numFmtId="165" fontId="0" fillId="0" borderId="0" xfId="0" applyNumberFormat="1" applyFont="1" applyBorder="1" applyAlignment="1">
      <alignment horizontal="right" vertical="center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ritama.com/?s=icbp" TargetMode="External"/><Relationship Id="rId13" Type="http://schemas.openxmlformats.org/officeDocument/2006/relationships/hyperlink" Target="https://britama.com/?s=myor" TargetMode="External"/><Relationship Id="rId3" Type="http://schemas.openxmlformats.org/officeDocument/2006/relationships/hyperlink" Target="https://britama.com/?s=campina" TargetMode="External"/><Relationship Id="rId7" Type="http://schemas.openxmlformats.org/officeDocument/2006/relationships/hyperlink" Target="https://britama.com/?s=hoki" TargetMode="External"/><Relationship Id="rId12" Type="http://schemas.openxmlformats.org/officeDocument/2006/relationships/hyperlink" Target="https://britama.com/?s=mlbi" TargetMode="External"/><Relationship Id="rId2" Type="http://schemas.openxmlformats.org/officeDocument/2006/relationships/hyperlink" Target="https://britama.com/?s=budi+starch" TargetMode="External"/><Relationship Id="rId1" Type="http://schemas.openxmlformats.org/officeDocument/2006/relationships/hyperlink" Target="https://britama.com/?s=alto" TargetMode="External"/><Relationship Id="rId6" Type="http://schemas.openxmlformats.org/officeDocument/2006/relationships/hyperlink" Target="https://britama.com/?s=dlta" TargetMode="External"/><Relationship Id="rId11" Type="http://schemas.openxmlformats.org/officeDocument/2006/relationships/hyperlink" Target="https://britama.com/?s=mgna" TargetMode="External"/><Relationship Id="rId5" Type="http://schemas.openxmlformats.org/officeDocument/2006/relationships/hyperlink" Target="https://britama.com/?s=cleo" TargetMode="External"/><Relationship Id="rId15" Type="http://schemas.openxmlformats.org/officeDocument/2006/relationships/hyperlink" Target="https://britama.com/?s=psdn" TargetMode="External"/><Relationship Id="rId10" Type="http://schemas.openxmlformats.org/officeDocument/2006/relationships/hyperlink" Target="https://britama.com/?s=indf" TargetMode="External"/><Relationship Id="rId4" Type="http://schemas.openxmlformats.org/officeDocument/2006/relationships/hyperlink" Target="https://britama.com/?s=ceka" TargetMode="External"/><Relationship Id="rId9" Type="http://schemas.openxmlformats.org/officeDocument/2006/relationships/hyperlink" Target="https://britama.com/?s=iikp" TargetMode="External"/><Relationship Id="rId14" Type="http://schemas.openxmlformats.org/officeDocument/2006/relationships/hyperlink" Target="https://britama.com/?s=pca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>
      <selection activeCell="A2" sqref="A2:A35"/>
    </sheetView>
  </sheetViews>
  <sheetFormatPr defaultRowHeight="15"/>
  <cols>
    <col min="1" max="1" width="7.28515625" bestFit="1" customWidth="1"/>
    <col min="2" max="3" width="11.85546875" style="3" bestFit="1" customWidth="1"/>
    <col min="4" max="4" width="14.42578125" bestFit="1" customWidth="1"/>
    <col min="5" max="5" width="11" bestFit="1" customWidth="1"/>
    <col min="6" max="6" width="7.5703125" bestFit="1" customWidth="1"/>
    <col min="7" max="7" width="6" bestFit="1" customWidth="1"/>
  </cols>
  <sheetData>
    <row r="1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>
        <v>31112</v>
      </c>
      <c r="C2" s="2">
        <v>34498</v>
      </c>
      <c r="D2" s="1" t="s">
        <v>8</v>
      </c>
      <c r="E2" s="1" t="s">
        <v>9</v>
      </c>
      <c r="F2" s="1" t="s">
        <v>10</v>
      </c>
      <c r="G2" s="1">
        <v>2.2029999999999998</v>
      </c>
    </row>
    <row r="3" spans="1:7">
      <c r="A3" s="1" t="s">
        <v>11</v>
      </c>
      <c r="B3" s="2">
        <v>32899</v>
      </c>
      <c r="C3" s="2">
        <v>35592</v>
      </c>
      <c r="D3" s="1" t="s">
        <v>12</v>
      </c>
      <c r="E3" s="1" t="s">
        <v>13</v>
      </c>
      <c r="F3" s="1" t="s">
        <v>14</v>
      </c>
      <c r="G3" s="1">
        <v>83</v>
      </c>
    </row>
    <row r="4" spans="1:7">
      <c r="A4" s="1" t="s">
        <v>15</v>
      </c>
      <c r="B4" s="2">
        <v>35584</v>
      </c>
      <c r="C4" s="2">
        <v>41100</v>
      </c>
      <c r="D4" s="1" t="s">
        <v>16</v>
      </c>
      <c r="E4" s="1" t="s">
        <v>17</v>
      </c>
      <c r="F4" s="1" t="s">
        <v>18</v>
      </c>
      <c r="G4" s="1">
        <v>167</v>
      </c>
    </row>
    <row r="5" spans="1:7">
      <c r="A5" s="1" t="s">
        <v>19</v>
      </c>
      <c r="B5" s="2">
        <v>43306</v>
      </c>
      <c r="C5" s="2">
        <v>44932</v>
      </c>
      <c r="D5" s="1" t="s">
        <v>20</v>
      </c>
      <c r="E5" s="1" t="s">
        <v>13</v>
      </c>
      <c r="F5" s="1" t="s">
        <v>21</v>
      </c>
      <c r="G5" s="1">
        <v>12</v>
      </c>
    </row>
    <row r="6" spans="1:7">
      <c r="A6" s="1" t="s">
        <v>22</v>
      </c>
      <c r="B6" s="2">
        <v>42471</v>
      </c>
      <c r="C6" s="2">
        <v>44501</v>
      </c>
      <c r="D6" s="1" t="s">
        <v>23</v>
      </c>
      <c r="E6" s="1" t="s">
        <v>24</v>
      </c>
      <c r="F6" s="1" t="s">
        <v>25</v>
      </c>
      <c r="G6" s="1">
        <v>119</v>
      </c>
    </row>
    <row r="7" spans="1:7">
      <c r="A7" s="1" t="s">
        <v>26</v>
      </c>
      <c r="B7" s="2">
        <v>37048</v>
      </c>
      <c r="C7" s="2">
        <v>38121</v>
      </c>
      <c r="D7" s="1" t="s">
        <v>27</v>
      </c>
      <c r="E7" s="1" t="s">
        <v>28</v>
      </c>
      <c r="F7" s="1" t="s">
        <v>29</v>
      </c>
      <c r="G7" s="1">
        <v>25</v>
      </c>
    </row>
    <row r="8" spans="1:7">
      <c r="A8" s="1" t="s">
        <v>30</v>
      </c>
      <c r="B8" s="2">
        <v>42896</v>
      </c>
      <c r="C8" s="2">
        <v>44782</v>
      </c>
      <c r="D8" s="1" t="s">
        <v>31</v>
      </c>
      <c r="E8" s="1" t="s">
        <v>32</v>
      </c>
      <c r="F8" s="1" t="s">
        <v>33</v>
      </c>
      <c r="G8" s="1">
        <v>153</v>
      </c>
    </row>
    <row r="9" spans="1:7">
      <c r="A9" s="1" t="s">
        <v>34</v>
      </c>
      <c r="B9" s="2">
        <v>28870</v>
      </c>
      <c r="C9" s="2">
        <v>34827</v>
      </c>
      <c r="D9" s="1" t="s">
        <v>35</v>
      </c>
      <c r="E9" s="1" t="s">
        <v>36</v>
      </c>
      <c r="F9" s="1" t="s">
        <v>37</v>
      </c>
      <c r="G9" s="1">
        <v>311</v>
      </c>
    </row>
    <row r="10" spans="1:7">
      <c r="A10" s="1" t="s">
        <v>38</v>
      </c>
      <c r="B10" s="2">
        <v>26502</v>
      </c>
      <c r="C10" s="2">
        <v>43088</v>
      </c>
      <c r="D10" s="1" t="s">
        <v>39</v>
      </c>
      <c r="E10" s="1" t="s">
        <v>40</v>
      </c>
      <c r="F10" s="1" t="s">
        <v>41</v>
      </c>
      <c r="G10" s="1">
        <v>156</v>
      </c>
    </row>
    <row r="11" spans="1:7">
      <c r="A11" s="1" t="s">
        <v>42</v>
      </c>
      <c r="B11" s="2">
        <v>24871</v>
      </c>
      <c r="C11" s="2">
        <v>35255</v>
      </c>
      <c r="D11" s="1" t="s">
        <v>43</v>
      </c>
      <c r="E11" s="1" t="s">
        <v>44</v>
      </c>
      <c r="F11" s="1" t="s">
        <v>45</v>
      </c>
      <c r="G11" s="1">
        <v>2.5209999999999999</v>
      </c>
    </row>
    <row r="12" spans="1:7">
      <c r="A12" s="1" t="s">
        <v>46</v>
      </c>
      <c r="B12" s="2">
        <v>32212</v>
      </c>
      <c r="C12" s="2">
        <v>42860</v>
      </c>
      <c r="D12" s="1" t="s">
        <v>47</v>
      </c>
      <c r="E12" s="1" t="s">
        <v>48</v>
      </c>
      <c r="F12" s="1" t="s">
        <v>49</v>
      </c>
      <c r="G12" s="1">
        <v>91</v>
      </c>
    </row>
    <row r="13" spans="1:7">
      <c r="A13" s="1" t="s">
        <v>50</v>
      </c>
      <c r="B13" s="2">
        <v>38232</v>
      </c>
      <c r="C13" s="2">
        <v>44536</v>
      </c>
      <c r="D13" s="1" t="s">
        <v>51</v>
      </c>
      <c r="E13" s="1" t="s">
        <v>52</v>
      </c>
      <c r="F13" s="1" t="s">
        <v>53</v>
      </c>
      <c r="G13" s="1">
        <v>642</v>
      </c>
    </row>
    <row r="14" spans="1:7">
      <c r="A14" s="1" t="s">
        <v>54</v>
      </c>
      <c r="B14" s="2">
        <v>38763</v>
      </c>
      <c r="C14" s="2">
        <v>43544</v>
      </c>
      <c r="D14" s="1" t="s">
        <v>55</v>
      </c>
      <c r="E14" s="1" t="s">
        <v>56</v>
      </c>
      <c r="F14" s="1" t="s">
        <v>57</v>
      </c>
      <c r="G14" s="1">
        <v>227</v>
      </c>
    </row>
    <row r="15" spans="1:7">
      <c r="A15" s="1" t="s">
        <v>58</v>
      </c>
      <c r="B15" s="2">
        <v>25734</v>
      </c>
      <c r="C15" s="2">
        <v>30739</v>
      </c>
      <c r="D15" s="1" t="s">
        <v>59</v>
      </c>
      <c r="E15" s="1" t="s">
        <v>60</v>
      </c>
      <c r="F15" s="1" t="s">
        <v>61</v>
      </c>
      <c r="G15" s="1">
        <v>1.1879999999999999</v>
      </c>
    </row>
    <row r="16" spans="1:7">
      <c r="A16" s="1" t="s">
        <v>62</v>
      </c>
      <c r="B16" s="2">
        <v>34733</v>
      </c>
      <c r="C16" s="2">
        <v>43852</v>
      </c>
      <c r="D16" s="1" t="s">
        <v>63</v>
      </c>
      <c r="E16" s="1" t="s">
        <v>64</v>
      </c>
      <c r="F16" s="1" t="s">
        <v>65</v>
      </c>
      <c r="G16" s="1">
        <v>559</v>
      </c>
    </row>
    <row r="17" spans="1:7">
      <c r="A17" s="1" t="s">
        <v>66</v>
      </c>
      <c r="B17" s="2">
        <v>41284</v>
      </c>
      <c r="C17" s="2">
        <v>44088</v>
      </c>
      <c r="D17" s="1" t="s">
        <v>67</v>
      </c>
      <c r="E17" s="1" t="s">
        <v>68</v>
      </c>
      <c r="F17" s="1" t="s">
        <v>69</v>
      </c>
      <c r="G17" s="1">
        <v>74</v>
      </c>
    </row>
    <row r="18" spans="1:7">
      <c r="A18" s="1" t="s">
        <v>70</v>
      </c>
      <c r="B18" s="2">
        <v>38166</v>
      </c>
      <c r="C18" s="2">
        <v>43473</v>
      </c>
      <c r="D18" s="1" t="s">
        <v>71</v>
      </c>
      <c r="E18" s="1" t="s">
        <v>72</v>
      </c>
      <c r="F18" s="1" t="s">
        <v>73</v>
      </c>
      <c r="G18" s="1">
        <v>44</v>
      </c>
    </row>
    <row r="19" spans="1:7">
      <c r="A19" s="1" t="s">
        <v>74</v>
      </c>
      <c r="B19" s="2">
        <v>34570</v>
      </c>
      <c r="C19" s="2">
        <v>43383</v>
      </c>
      <c r="D19" s="1" t="s">
        <v>75</v>
      </c>
      <c r="E19" s="1" t="s">
        <v>76</v>
      </c>
      <c r="F19" s="1" t="s">
        <v>77</v>
      </c>
      <c r="G19" s="1">
        <v>86</v>
      </c>
    </row>
    <row r="20" spans="1:7">
      <c r="A20" s="1" t="s">
        <v>78</v>
      </c>
      <c r="B20" s="2">
        <v>37880</v>
      </c>
      <c r="C20" s="2">
        <v>42908</v>
      </c>
      <c r="D20" s="1" t="s">
        <v>79</v>
      </c>
      <c r="E20" s="1" t="s">
        <v>80</v>
      </c>
      <c r="F20" s="1" t="s">
        <v>81</v>
      </c>
      <c r="G20" s="1">
        <v>68</v>
      </c>
    </row>
    <row r="21" spans="1:7">
      <c r="A21" s="1" t="s">
        <v>82</v>
      </c>
      <c r="B21" s="2">
        <v>43481</v>
      </c>
      <c r="C21" s="2">
        <v>44676</v>
      </c>
      <c r="D21" s="1" t="s">
        <v>83</v>
      </c>
      <c r="E21" s="1" t="s">
        <v>84</v>
      </c>
      <c r="F21" s="1" t="s">
        <v>85</v>
      </c>
      <c r="G21" s="1">
        <v>40</v>
      </c>
    </row>
    <row r="22" spans="1:7">
      <c r="A22" s="1" t="s">
        <v>86</v>
      </c>
      <c r="B22" s="2">
        <v>40058</v>
      </c>
      <c r="C22" s="2">
        <v>40458</v>
      </c>
      <c r="D22" s="1" t="s">
        <v>87</v>
      </c>
      <c r="E22" s="1" t="s">
        <v>88</v>
      </c>
      <c r="F22" s="1" t="s">
        <v>89</v>
      </c>
      <c r="G22" s="1">
        <v>4.8010000000000002</v>
      </c>
    </row>
    <row r="23" spans="1:7">
      <c r="A23" s="1" t="s">
        <v>90</v>
      </c>
      <c r="B23" s="2">
        <v>36235</v>
      </c>
      <c r="C23" s="2">
        <v>37543</v>
      </c>
      <c r="D23" s="1" t="s">
        <v>91</v>
      </c>
      <c r="E23" s="1" t="s">
        <v>92</v>
      </c>
      <c r="F23" s="1" t="s">
        <v>93</v>
      </c>
      <c r="G23" s="1">
        <v>7</v>
      </c>
    </row>
    <row r="24" spans="1:7">
      <c r="A24" s="1" t="s">
        <v>94</v>
      </c>
      <c r="B24" s="2">
        <v>36844</v>
      </c>
      <c r="C24" s="2">
        <v>43873</v>
      </c>
      <c r="D24" s="1" t="s">
        <v>95</v>
      </c>
      <c r="E24" s="1" t="s">
        <v>96</v>
      </c>
      <c r="F24" s="1" t="s">
        <v>97</v>
      </c>
      <c r="G24" s="1">
        <v>86</v>
      </c>
    </row>
    <row r="25" spans="1:7">
      <c r="A25" s="1" t="s">
        <v>98</v>
      </c>
      <c r="B25" s="2">
        <v>33099</v>
      </c>
      <c r="C25" s="2">
        <v>34529</v>
      </c>
      <c r="D25" s="1" t="s">
        <v>99</v>
      </c>
      <c r="E25" s="1" t="s">
        <v>100</v>
      </c>
      <c r="F25" s="1" t="s">
        <v>101</v>
      </c>
      <c r="G25" s="1">
        <v>10.352</v>
      </c>
    </row>
    <row r="26" spans="1:7">
      <c r="A26" s="1" t="s">
        <v>102</v>
      </c>
      <c r="B26" s="2">
        <v>38954</v>
      </c>
      <c r="C26" s="2">
        <v>43794</v>
      </c>
      <c r="D26" s="1" t="s">
        <v>103</v>
      </c>
      <c r="E26" s="1" t="s">
        <v>104</v>
      </c>
      <c r="F26" s="1" t="s">
        <v>105</v>
      </c>
      <c r="G26" s="1">
        <v>466</v>
      </c>
    </row>
    <row r="27" spans="1:7">
      <c r="A27" s="1" t="s">
        <v>106</v>
      </c>
      <c r="B27" s="2">
        <v>30750</v>
      </c>
      <c r="C27" s="2">
        <v>41827</v>
      </c>
      <c r="D27" s="1" t="s">
        <v>107</v>
      </c>
      <c r="E27" s="1" t="s">
        <v>108</v>
      </c>
      <c r="F27" s="1" t="s">
        <v>109</v>
      </c>
      <c r="G27" s="1">
        <v>12</v>
      </c>
    </row>
    <row r="28" spans="1:7">
      <c r="A28" s="1" t="s">
        <v>110</v>
      </c>
      <c r="B28" s="2">
        <v>10747</v>
      </c>
      <c r="C28" s="2">
        <v>29935</v>
      </c>
      <c r="D28" s="1" t="s">
        <v>111</v>
      </c>
      <c r="E28" s="1" t="s">
        <v>112</v>
      </c>
      <c r="F28" s="1" t="s">
        <v>113</v>
      </c>
      <c r="G28" s="1">
        <v>401</v>
      </c>
    </row>
    <row r="29" spans="1:7">
      <c r="A29" s="1" t="s">
        <v>114</v>
      </c>
      <c r="B29" s="2">
        <v>28173</v>
      </c>
      <c r="C29" s="2">
        <v>33058</v>
      </c>
      <c r="D29" s="1" t="s">
        <v>115</v>
      </c>
      <c r="E29" s="1" t="s">
        <v>116</v>
      </c>
      <c r="F29" s="1" t="s">
        <v>117</v>
      </c>
      <c r="G29" s="1">
        <v>532</v>
      </c>
    </row>
    <row r="30" spans="1:7">
      <c r="A30" s="1" t="s">
        <v>118</v>
      </c>
      <c r="B30" s="2">
        <v>41914</v>
      </c>
      <c r="C30" s="2">
        <v>44963</v>
      </c>
      <c r="D30" s="1" t="s">
        <v>119</v>
      </c>
      <c r="E30" s="1" t="s">
        <v>120</v>
      </c>
      <c r="F30" s="1" t="s">
        <v>121</v>
      </c>
      <c r="G30" s="1">
        <v>8</v>
      </c>
    </row>
    <row r="31" spans="1:7">
      <c r="A31" s="1" t="s">
        <v>122</v>
      </c>
      <c r="B31" s="2">
        <v>36777</v>
      </c>
      <c r="C31" s="2">
        <v>43361</v>
      </c>
      <c r="D31" s="1" t="s">
        <v>123</v>
      </c>
      <c r="E31" s="1" t="s">
        <v>124</v>
      </c>
      <c r="F31" s="1" t="s">
        <v>125</v>
      </c>
      <c r="G31" s="1">
        <v>524</v>
      </c>
    </row>
    <row r="32" spans="1:7">
      <c r="A32" s="1" t="s">
        <v>126</v>
      </c>
      <c r="B32" s="2">
        <v>41668</v>
      </c>
      <c r="C32" s="2">
        <v>43098</v>
      </c>
      <c r="D32" s="1" t="s">
        <v>127</v>
      </c>
      <c r="E32" s="1" t="s">
        <v>128</v>
      </c>
      <c r="F32" s="1" t="s">
        <v>129</v>
      </c>
      <c r="G32" s="1">
        <v>55</v>
      </c>
    </row>
    <row r="33" spans="1:7">
      <c r="A33" s="1" t="s">
        <v>130</v>
      </c>
      <c r="B33" s="2">
        <v>35650</v>
      </c>
      <c r="C33" s="2">
        <v>44183</v>
      </c>
      <c r="D33" s="1" t="s">
        <v>131</v>
      </c>
      <c r="E33" s="1" t="s">
        <v>132</v>
      </c>
      <c r="F33" s="1" t="s">
        <v>133</v>
      </c>
      <c r="G33" s="1">
        <v>552</v>
      </c>
    </row>
    <row r="34" spans="1:7">
      <c r="A34" s="1" t="s">
        <v>134</v>
      </c>
      <c r="B34" s="2">
        <v>27135</v>
      </c>
      <c r="C34" s="2">
        <v>34625</v>
      </c>
      <c r="D34" s="1" t="s">
        <v>135</v>
      </c>
      <c r="E34" s="1" t="s">
        <v>136</v>
      </c>
      <c r="F34" s="1" t="s">
        <v>137</v>
      </c>
      <c r="G34" s="1">
        <v>15</v>
      </c>
    </row>
    <row r="35" spans="1:7">
      <c r="A35" s="1" t="s">
        <v>138</v>
      </c>
      <c r="B35" s="2">
        <v>39602</v>
      </c>
      <c r="C35" s="2">
        <v>43794</v>
      </c>
      <c r="D35" s="1" t="s">
        <v>139</v>
      </c>
      <c r="E35" s="1" t="s">
        <v>140</v>
      </c>
      <c r="F35" s="1" t="s">
        <v>141</v>
      </c>
      <c r="G35" s="1">
        <v>84</v>
      </c>
    </row>
  </sheetData>
  <autoFilter ref="A1:G133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selection activeCell="A4" sqref="A4:A19"/>
    </sheetView>
  </sheetViews>
  <sheetFormatPr defaultRowHeight="15"/>
  <cols>
    <col min="1" max="1" width="7.28515625" bestFit="1" customWidth="1"/>
    <col min="2" max="2" width="9.7109375" bestFit="1" customWidth="1"/>
    <col min="3" max="3" width="11.28515625" bestFit="1" customWidth="1"/>
    <col min="4" max="4" width="14.42578125" bestFit="1" customWidth="1"/>
    <col min="5" max="5" width="11" bestFit="1" customWidth="1"/>
    <col min="6" max="6" width="7.28515625" bestFit="1" customWidth="1"/>
    <col min="7" max="7" width="7" bestFit="1" customWidth="1"/>
    <col min="8" max="8" width="13.28515625" bestFit="1" customWidth="1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144</v>
      </c>
      <c r="I1" s="4" t="s">
        <v>143</v>
      </c>
    </row>
    <row r="2" spans="1:9">
      <c r="A2" s="1" t="s">
        <v>7</v>
      </c>
      <c r="B2" s="2">
        <v>31112</v>
      </c>
      <c r="C2" s="2">
        <v>34498</v>
      </c>
      <c r="D2" s="1" t="s">
        <v>8</v>
      </c>
      <c r="E2" s="1" t="s">
        <v>9</v>
      </c>
      <c r="F2" s="1" t="s">
        <v>10</v>
      </c>
      <c r="G2" s="1">
        <v>2.2029999999999998</v>
      </c>
      <c r="H2" s="1" t="s">
        <v>142</v>
      </c>
      <c r="I2" s="6" t="s">
        <v>149</v>
      </c>
    </row>
    <row r="3" spans="1:9">
      <c r="A3" s="1" t="s">
        <v>11</v>
      </c>
      <c r="B3" s="2">
        <v>32899</v>
      </c>
      <c r="C3" s="2">
        <v>35592</v>
      </c>
      <c r="D3" s="1" t="s">
        <v>12</v>
      </c>
      <c r="E3" s="1" t="s">
        <v>13</v>
      </c>
      <c r="F3" s="1" t="s">
        <v>14</v>
      </c>
      <c r="G3" s="1">
        <v>83</v>
      </c>
      <c r="H3" s="1" t="s">
        <v>142</v>
      </c>
      <c r="I3" s="6" t="s">
        <v>155</v>
      </c>
    </row>
    <row r="4" spans="1:9">
      <c r="A4" s="1" t="s">
        <v>15</v>
      </c>
      <c r="B4" s="2">
        <v>35584</v>
      </c>
      <c r="C4" s="2">
        <v>41100</v>
      </c>
      <c r="D4" s="1" t="s">
        <v>16</v>
      </c>
      <c r="E4" s="1" t="s">
        <v>17</v>
      </c>
      <c r="F4" s="1" t="s">
        <v>18</v>
      </c>
      <c r="G4" s="1">
        <v>167</v>
      </c>
      <c r="H4" s="1" t="s">
        <v>142</v>
      </c>
      <c r="I4" s="6" t="s">
        <v>148</v>
      </c>
    </row>
    <row r="5" spans="1:9">
      <c r="A5" s="1" t="s">
        <v>26</v>
      </c>
      <c r="B5" s="2">
        <v>37048</v>
      </c>
      <c r="C5" s="2">
        <v>38121</v>
      </c>
      <c r="D5" s="1" t="s">
        <v>27</v>
      </c>
      <c r="E5" s="1" t="s">
        <v>28</v>
      </c>
      <c r="F5" s="1" t="s">
        <v>29</v>
      </c>
      <c r="G5" s="1">
        <v>25</v>
      </c>
      <c r="H5" s="1" t="s">
        <v>142</v>
      </c>
      <c r="I5" s="7" t="s">
        <v>147</v>
      </c>
    </row>
    <row r="6" spans="1:9">
      <c r="A6" s="1" t="s">
        <v>34</v>
      </c>
      <c r="B6" s="2">
        <v>28870</v>
      </c>
      <c r="C6" s="2">
        <v>34827</v>
      </c>
      <c r="D6" s="1" t="s">
        <v>35</v>
      </c>
      <c r="E6" s="1" t="s">
        <v>36</v>
      </c>
      <c r="F6" s="1" t="s">
        <v>37</v>
      </c>
      <c r="G6" s="1">
        <v>311</v>
      </c>
      <c r="H6" s="1" t="s">
        <v>142</v>
      </c>
      <c r="I6" s="6" t="s">
        <v>145</v>
      </c>
    </row>
    <row r="7" spans="1:9">
      <c r="A7" s="1" t="s">
        <v>38</v>
      </c>
      <c r="B7" s="2">
        <v>26502</v>
      </c>
      <c r="C7" s="2">
        <v>43088</v>
      </c>
      <c r="D7" s="1" t="s">
        <v>39</v>
      </c>
      <c r="E7" s="1" t="s">
        <v>40</v>
      </c>
      <c r="F7" s="1" t="s">
        <v>41</v>
      </c>
      <c r="G7" s="1">
        <v>156</v>
      </c>
      <c r="H7" s="1" t="s">
        <v>142</v>
      </c>
      <c r="I7" s="6" t="s">
        <v>146</v>
      </c>
    </row>
    <row r="8" spans="1:9">
      <c r="A8" s="1" t="s">
        <v>42</v>
      </c>
      <c r="B8" s="2">
        <v>24871</v>
      </c>
      <c r="C8" s="2">
        <v>35255</v>
      </c>
      <c r="D8" s="1" t="s">
        <v>43</v>
      </c>
      <c r="E8" s="1" t="s">
        <v>44</v>
      </c>
      <c r="F8" s="1" t="s">
        <v>45</v>
      </c>
      <c r="G8" s="1">
        <v>2.5209999999999999</v>
      </c>
      <c r="H8" s="1" t="s">
        <v>142</v>
      </c>
      <c r="I8" s="6" t="s">
        <v>150</v>
      </c>
    </row>
    <row r="9" spans="1:9">
      <c r="A9" s="1" t="s">
        <v>46</v>
      </c>
      <c r="B9" s="2">
        <v>32212</v>
      </c>
      <c r="C9" s="2">
        <v>42860</v>
      </c>
      <c r="D9" s="1" t="s">
        <v>47</v>
      </c>
      <c r="E9" s="1" t="s">
        <v>48</v>
      </c>
      <c r="F9" s="1" t="s">
        <v>49</v>
      </c>
      <c r="G9" s="1">
        <v>91</v>
      </c>
      <c r="H9" s="1" t="s">
        <v>142</v>
      </c>
      <c r="I9" s="7" t="s">
        <v>151</v>
      </c>
    </row>
    <row r="10" spans="1:9">
      <c r="A10" s="1" t="s">
        <v>58</v>
      </c>
      <c r="B10" s="2">
        <v>25734</v>
      </c>
      <c r="C10" s="2">
        <v>30739</v>
      </c>
      <c r="D10" s="1" t="s">
        <v>59</v>
      </c>
      <c r="E10" s="1" t="s">
        <v>60</v>
      </c>
      <c r="F10" s="1" t="s">
        <v>61</v>
      </c>
      <c r="G10" s="1">
        <v>1.1879999999999999</v>
      </c>
      <c r="H10" s="1" t="s">
        <v>142</v>
      </c>
      <c r="I10" s="7" t="s">
        <v>152</v>
      </c>
    </row>
    <row r="11" spans="1:9">
      <c r="A11" s="1" t="s">
        <v>78</v>
      </c>
      <c r="B11" s="2">
        <v>37880</v>
      </c>
      <c r="C11" s="2">
        <v>42908</v>
      </c>
      <c r="D11" s="1" t="s">
        <v>79</v>
      </c>
      <c r="E11" s="1" t="s">
        <v>80</v>
      </c>
      <c r="F11" s="1" t="s">
        <v>81</v>
      </c>
      <c r="G11" s="1">
        <v>68</v>
      </c>
      <c r="H11" s="1" t="s">
        <v>142</v>
      </c>
      <c r="I11" s="7" t="s">
        <v>153</v>
      </c>
    </row>
    <row r="12" spans="1:9">
      <c r="A12" s="1" t="s">
        <v>86</v>
      </c>
      <c r="B12" s="2">
        <v>40058</v>
      </c>
      <c r="C12" s="2">
        <v>40458</v>
      </c>
      <c r="D12" s="1" t="s">
        <v>87</v>
      </c>
      <c r="E12" s="1" t="s">
        <v>88</v>
      </c>
      <c r="F12" s="1" t="s">
        <v>89</v>
      </c>
      <c r="G12" s="1">
        <v>4.8010000000000002</v>
      </c>
      <c r="H12" s="1" t="s">
        <v>142</v>
      </c>
      <c r="I12" s="7" t="s">
        <v>154</v>
      </c>
    </row>
    <row r="13" spans="1:9">
      <c r="A13" s="1" t="s">
        <v>90</v>
      </c>
      <c r="B13" s="2">
        <v>36235</v>
      </c>
      <c r="C13" s="2">
        <v>37543</v>
      </c>
      <c r="D13" s="1" t="s">
        <v>91</v>
      </c>
      <c r="E13" s="1" t="s">
        <v>92</v>
      </c>
      <c r="F13" s="1" t="s">
        <v>93</v>
      </c>
      <c r="G13" s="1">
        <v>7</v>
      </c>
      <c r="H13" s="1" t="s">
        <v>142</v>
      </c>
      <c r="I13" s="6" t="s">
        <v>156</v>
      </c>
    </row>
    <row r="14" spans="1:9">
      <c r="A14" s="1" t="s">
        <v>98</v>
      </c>
      <c r="B14" s="2">
        <v>33099</v>
      </c>
      <c r="C14" s="2">
        <v>34529</v>
      </c>
      <c r="D14" s="1" t="s">
        <v>99</v>
      </c>
      <c r="E14" s="1" t="s">
        <v>100</v>
      </c>
      <c r="F14" s="1" t="s">
        <v>101</v>
      </c>
      <c r="G14" s="1">
        <v>10.352</v>
      </c>
      <c r="H14" s="1" t="s">
        <v>142</v>
      </c>
      <c r="I14" s="7" t="s">
        <v>157</v>
      </c>
    </row>
    <row r="15" spans="1:9">
      <c r="A15" s="1" t="s">
        <v>106</v>
      </c>
      <c r="B15" s="2">
        <v>30750</v>
      </c>
      <c r="C15" s="2">
        <v>41827</v>
      </c>
      <c r="D15" s="1" t="s">
        <v>107</v>
      </c>
      <c r="E15" s="1" t="s">
        <v>108</v>
      </c>
      <c r="F15" s="1" t="s">
        <v>109</v>
      </c>
      <c r="G15" s="1">
        <v>12</v>
      </c>
      <c r="H15" s="1" t="s">
        <v>142</v>
      </c>
      <c r="I15" s="7" t="s">
        <v>159</v>
      </c>
    </row>
    <row r="16" spans="1:9">
      <c r="A16" s="1" t="s">
        <v>110</v>
      </c>
      <c r="B16" s="2">
        <v>10747</v>
      </c>
      <c r="C16" s="2">
        <v>29935</v>
      </c>
      <c r="D16" s="1" t="s">
        <v>111</v>
      </c>
      <c r="E16" s="1" t="s">
        <v>112</v>
      </c>
      <c r="F16" s="1" t="s">
        <v>113</v>
      </c>
      <c r="G16" s="1">
        <v>401</v>
      </c>
      <c r="H16" s="1" t="s">
        <v>142</v>
      </c>
      <c r="I16" s="7" t="s">
        <v>160</v>
      </c>
    </row>
    <row r="17" spans="1:9">
      <c r="A17" s="1" t="s">
        <v>114</v>
      </c>
      <c r="B17" s="2">
        <v>28173</v>
      </c>
      <c r="C17" s="2">
        <v>33058</v>
      </c>
      <c r="D17" s="1" t="s">
        <v>115</v>
      </c>
      <c r="E17" s="1" t="s">
        <v>116</v>
      </c>
      <c r="F17" s="1" t="s">
        <v>117</v>
      </c>
      <c r="G17" s="1">
        <v>532</v>
      </c>
      <c r="H17" s="1" t="s">
        <v>142</v>
      </c>
      <c r="I17" s="7" t="s">
        <v>161</v>
      </c>
    </row>
    <row r="18" spans="1:9">
      <c r="A18" s="1" t="s">
        <v>126</v>
      </c>
      <c r="B18" s="2">
        <v>41668</v>
      </c>
      <c r="C18" s="2">
        <v>43098</v>
      </c>
      <c r="D18" s="1" t="s">
        <v>127</v>
      </c>
      <c r="E18" s="1" t="s">
        <v>128</v>
      </c>
      <c r="F18" s="1" t="s">
        <v>129</v>
      </c>
      <c r="G18" s="1">
        <v>55</v>
      </c>
      <c r="H18" s="1" t="s">
        <v>142</v>
      </c>
      <c r="I18" s="7" t="s">
        <v>162</v>
      </c>
    </row>
    <row r="19" spans="1:9">
      <c r="A19" s="1" t="s">
        <v>134</v>
      </c>
      <c r="B19" s="2">
        <v>27135</v>
      </c>
      <c r="C19" s="2">
        <v>34625</v>
      </c>
      <c r="D19" s="1" t="s">
        <v>135</v>
      </c>
      <c r="E19" s="1" t="s">
        <v>136</v>
      </c>
      <c r="F19" s="1" t="s">
        <v>137</v>
      </c>
      <c r="G19" s="1">
        <v>15</v>
      </c>
      <c r="H19" s="1" t="s">
        <v>142</v>
      </c>
      <c r="I19" s="7" t="s">
        <v>158</v>
      </c>
    </row>
  </sheetData>
  <hyperlinks>
    <hyperlink ref="I4" r:id="rId1"/>
    <hyperlink ref="I6" r:id="rId2"/>
    <hyperlink ref="I7" r:id="rId3"/>
    <hyperlink ref="I8" r:id="rId4"/>
    <hyperlink ref="I9" r:id="rId5"/>
    <hyperlink ref="I10" r:id="rId6"/>
    <hyperlink ref="I11" r:id="rId7"/>
    <hyperlink ref="I12" r:id="rId8"/>
    <hyperlink ref="I13" r:id="rId9"/>
    <hyperlink ref="I14" r:id="rId10"/>
    <hyperlink ref="I15" r:id="rId11"/>
    <hyperlink ref="I16" r:id="rId12"/>
    <hyperlink ref="I17" r:id="rId13"/>
    <hyperlink ref="I18" r:id="rId14"/>
    <hyperlink ref="I19" r:id="rId1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1"/>
  <sheetViews>
    <sheetView workbookViewId="0">
      <pane xSplit="1" ySplit="1" topLeftCell="H51" activePane="bottomRight" state="frozen"/>
      <selection pane="topRight" activeCell="B1" sqref="B1"/>
      <selection pane="bottomLeft" activeCell="A2" sqref="A2"/>
      <selection pane="bottomRight" activeCell="A57" sqref="A57:XFD61"/>
    </sheetView>
  </sheetViews>
  <sheetFormatPr defaultRowHeight="15"/>
  <cols>
    <col min="1" max="1" width="6.85546875" style="10" bestFit="1" customWidth="1"/>
    <col min="2" max="2" width="6.42578125" style="10" bestFit="1" customWidth="1"/>
    <col min="3" max="3" width="13.5703125" style="10" bestFit="1" customWidth="1"/>
    <col min="4" max="7" width="12" style="10" bestFit="1" customWidth="1"/>
    <col min="8" max="8" width="9.140625" style="10"/>
    <col min="9" max="9" width="9.5703125" style="9" bestFit="1" customWidth="1"/>
    <col min="10" max="10" width="8.28515625" style="9" bestFit="1" customWidth="1"/>
    <col min="11" max="12" width="19" style="8" bestFit="1" customWidth="1"/>
    <col min="13" max="13" width="20" style="8" bestFit="1" customWidth="1"/>
    <col min="14" max="14" width="19.140625" style="8" bestFit="1" customWidth="1"/>
    <col min="15" max="15" width="16.140625" style="8" bestFit="1" customWidth="1"/>
    <col min="16" max="16" width="19" style="8" bestFit="1" customWidth="1"/>
    <col min="17" max="17" width="9.140625" style="8"/>
    <col min="18" max="16384" width="9.140625" style="10"/>
  </cols>
  <sheetData>
    <row r="1" spans="1:16" ht="15.75" thickBot="1">
      <c r="A1" s="10" t="s">
        <v>163</v>
      </c>
      <c r="B1" s="10" t="s">
        <v>164</v>
      </c>
      <c r="C1" s="10" t="s">
        <v>165</v>
      </c>
      <c r="D1" s="10" t="s">
        <v>166</v>
      </c>
      <c r="E1" s="10" t="s">
        <v>167</v>
      </c>
      <c r="F1" s="10" t="s">
        <v>168</v>
      </c>
      <c r="G1" s="10" t="s">
        <v>169</v>
      </c>
      <c r="I1" s="9" t="s">
        <v>182</v>
      </c>
      <c r="J1" s="9" t="s">
        <v>170</v>
      </c>
      <c r="K1" s="8" t="s">
        <v>171</v>
      </c>
      <c r="L1" s="8" t="s">
        <v>172</v>
      </c>
      <c r="M1" s="8" t="s">
        <v>173</v>
      </c>
      <c r="N1" s="8" t="s">
        <v>174</v>
      </c>
      <c r="O1" s="8" t="s">
        <v>175</v>
      </c>
      <c r="P1" s="8" t="s">
        <v>176</v>
      </c>
    </row>
    <row r="2" spans="1:16" ht="39" customHeight="1" thickBot="1">
      <c r="A2" s="10" t="s">
        <v>7</v>
      </c>
      <c r="B2" s="10">
        <v>2018</v>
      </c>
      <c r="C2" s="11">
        <v>0.36191469100000001</v>
      </c>
      <c r="D2" s="10">
        <f>K2/L2</f>
        <v>0.82869972650721913</v>
      </c>
      <c r="E2" s="10">
        <f>LN(M2)</f>
        <v>27.50463555946483</v>
      </c>
      <c r="F2" s="10">
        <f>N2/O2</f>
        <v>0.22222222222222221</v>
      </c>
      <c r="G2" s="10">
        <f>P2/M2</f>
        <v>6.0092479645967492E-2</v>
      </c>
      <c r="I2" s="12">
        <v>-0.111432978</v>
      </c>
      <c r="J2" s="13">
        <v>-0.47334766900000003</v>
      </c>
      <c r="K2" s="8">
        <v>399362000000</v>
      </c>
      <c r="L2" s="14">
        <v>481914000000</v>
      </c>
      <c r="M2" s="14">
        <v>881275000000</v>
      </c>
      <c r="N2" s="15">
        <v>20</v>
      </c>
      <c r="O2" s="16">
        <v>90</v>
      </c>
      <c r="P2" s="14">
        <v>52958000000</v>
      </c>
    </row>
    <row r="3" spans="1:16" ht="39" customHeight="1" thickBot="1">
      <c r="A3" s="10" t="s">
        <v>7</v>
      </c>
      <c r="B3" s="10">
        <v>2019</v>
      </c>
      <c r="C3" s="11">
        <v>0.121950483</v>
      </c>
      <c r="D3" s="10">
        <f t="shared" ref="D3:D66" si="0">K3/L3</f>
        <v>0.44800391592729477</v>
      </c>
      <c r="E3" s="10">
        <f t="shared" ref="E3:E66" si="1">LN(M3)</f>
        <v>27.435462332352571</v>
      </c>
      <c r="F3" s="10">
        <f t="shared" ref="F3:F66" si="2">N3/O3</f>
        <v>0.14084507042253522</v>
      </c>
      <c r="G3" s="10">
        <f t="shared" ref="G3:G66" si="3">P3/M3</f>
        <v>0.10200334397324821</v>
      </c>
      <c r="I3" s="12">
        <v>-0.113804431</v>
      </c>
      <c r="J3" s="13">
        <v>-0.23575491400000001</v>
      </c>
      <c r="K3" s="8">
        <v>254438000000</v>
      </c>
      <c r="L3" s="14">
        <v>567937000000</v>
      </c>
      <c r="M3" s="14">
        <v>822375000000</v>
      </c>
      <c r="N3" s="17">
        <v>20</v>
      </c>
      <c r="O3" s="18">
        <v>142</v>
      </c>
      <c r="P3" s="14">
        <v>83885000000</v>
      </c>
    </row>
    <row r="4" spans="1:16" ht="39" customHeight="1" thickBot="1">
      <c r="A4" s="10" t="s">
        <v>7</v>
      </c>
      <c r="B4" s="10">
        <v>2020</v>
      </c>
      <c r="C4" s="11">
        <v>0.75114461399999999</v>
      </c>
      <c r="D4" s="10">
        <f>K4/L4</f>
        <v>0.3687081375230547</v>
      </c>
      <c r="E4" s="10">
        <f t="shared" si="1"/>
        <v>27.588938952729169</v>
      </c>
      <c r="F4" s="10">
        <f t="shared" si="2"/>
        <v>8.6956521739130432E-2</v>
      </c>
      <c r="G4" s="10">
        <f t="shared" si="3"/>
        <v>0.14162523427942064</v>
      </c>
      <c r="I4" s="12">
        <v>-0.115385317</v>
      </c>
      <c r="J4" s="13">
        <v>-0.86652993099999998</v>
      </c>
      <c r="K4" s="8">
        <v>258283000000</v>
      </c>
      <c r="L4" s="14">
        <v>700508000000</v>
      </c>
      <c r="M4" s="14">
        <v>958791000000</v>
      </c>
      <c r="N4" s="17">
        <v>20</v>
      </c>
      <c r="O4" s="18">
        <v>230</v>
      </c>
      <c r="P4" s="14">
        <v>135789000000</v>
      </c>
    </row>
    <row r="5" spans="1:16" ht="26.25" customHeight="1" thickBot="1">
      <c r="A5" s="10" t="s">
        <v>7</v>
      </c>
      <c r="B5" s="10">
        <v>2021</v>
      </c>
      <c r="C5" s="11">
        <v>-0.79464739200000001</v>
      </c>
      <c r="D5" s="10">
        <f>K5/L5</f>
        <v>0.34469492698106963</v>
      </c>
      <c r="E5" s="10">
        <f t="shared" si="1"/>
        <v>27.896540398089339</v>
      </c>
      <c r="F5" s="10">
        <f t="shared" si="2"/>
        <v>4.4345898004434593E-2</v>
      </c>
      <c r="G5" s="10">
        <f t="shared" si="3"/>
        <v>0.2037852693181853</v>
      </c>
      <c r="I5" s="12">
        <v>-4.4324571E-2</v>
      </c>
      <c r="J5" s="13">
        <v>0.75032282100000003</v>
      </c>
      <c r="K5" s="8">
        <v>334291000000</v>
      </c>
      <c r="L5" s="14">
        <v>969817000000</v>
      </c>
      <c r="M5" s="14">
        <v>1304108000000</v>
      </c>
      <c r="N5" s="17">
        <v>20</v>
      </c>
      <c r="O5" s="18">
        <v>451</v>
      </c>
      <c r="P5" s="14">
        <v>265758000000</v>
      </c>
    </row>
    <row r="6" spans="1:16" ht="39" customHeight="1" thickBot="1">
      <c r="A6" s="10" t="s">
        <v>7</v>
      </c>
      <c r="B6" s="10">
        <v>2022</v>
      </c>
      <c r="C6" s="11">
        <v>0.14351710600000001</v>
      </c>
      <c r="D6" s="10">
        <f t="shared" si="0"/>
        <v>0.25671261530530814</v>
      </c>
      <c r="E6" s="10">
        <f t="shared" si="1"/>
        <v>28.064282956946176</v>
      </c>
      <c r="F6" s="10">
        <f t="shared" si="2"/>
        <v>4.4345898004434593E-2</v>
      </c>
      <c r="G6" s="10">
        <f t="shared" si="3"/>
        <v>0.15604494644292866</v>
      </c>
      <c r="I6" s="12">
        <v>5.3071895000000001E-2</v>
      </c>
      <c r="J6" s="13">
        <v>-9.0445210999999998E-2</v>
      </c>
      <c r="K6" s="8">
        <v>310746000000</v>
      </c>
      <c r="L6" s="14">
        <v>1210482000000</v>
      </c>
      <c r="M6" s="14">
        <v>1542280000000</v>
      </c>
      <c r="N6" s="17">
        <v>20</v>
      </c>
      <c r="O6" s="18">
        <v>451</v>
      </c>
      <c r="P6" s="14">
        <v>240665000000</v>
      </c>
    </row>
    <row r="7" spans="1:16" ht="26.25" customHeight="1" thickBot="1">
      <c r="A7" s="10" t="s">
        <v>38</v>
      </c>
      <c r="B7" s="10">
        <v>2018</v>
      </c>
      <c r="C7" s="11">
        <v>-0.53883285599999997</v>
      </c>
      <c r="D7" s="10">
        <f t="shared" si="0"/>
        <v>0.1342333201214243</v>
      </c>
      <c r="E7" s="10">
        <f t="shared" si="1"/>
        <v>27.635287814394157</v>
      </c>
      <c r="F7" s="10">
        <f t="shared" si="2"/>
        <v>0.28490028490028491</v>
      </c>
      <c r="G7" s="10">
        <f t="shared" si="3"/>
        <v>6.168354832289661E-2</v>
      </c>
      <c r="I7" s="12">
        <v>-3.4573114000000002E-2</v>
      </c>
      <c r="J7" s="13">
        <v>0.50425974200000001</v>
      </c>
      <c r="K7" s="8">
        <f>61322975128+57530240000</f>
        <v>118853215128</v>
      </c>
      <c r="L7" s="14">
        <v>885422598655</v>
      </c>
      <c r="M7" s="14">
        <v>1004275813783</v>
      </c>
      <c r="N7" s="17">
        <v>3</v>
      </c>
      <c r="O7" s="18">
        <v>10.53</v>
      </c>
      <c r="P7" s="14">
        <v>61947295689</v>
      </c>
    </row>
    <row r="8" spans="1:16" ht="15.75" thickBot="1">
      <c r="A8" s="10" t="s">
        <v>38</v>
      </c>
      <c r="B8" s="10">
        <v>2019</v>
      </c>
      <c r="C8" s="11">
        <v>-0.899888892</v>
      </c>
      <c r="D8" s="10">
        <f t="shared" si="0"/>
        <v>0.1305727320282658</v>
      </c>
      <c r="E8" s="10">
        <f t="shared" si="1"/>
        <v>27.686956393806206</v>
      </c>
      <c r="F8" s="10">
        <f t="shared" si="2"/>
        <v>0.32592024539877301</v>
      </c>
      <c r="G8" s="10">
        <f t="shared" si="3"/>
        <v>7.2583174861833091E-2</v>
      </c>
      <c r="I8" s="12">
        <v>-8.1333801999999997E-2</v>
      </c>
      <c r="J8" s="13">
        <v>0.81855509000000004</v>
      </c>
      <c r="K8" s="8">
        <f>57300411135+64836341000</f>
        <v>122136752135</v>
      </c>
      <c r="L8" s="14">
        <v>935392483850</v>
      </c>
      <c r="M8" s="14">
        <v>1057529235985</v>
      </c>
      <c r="N8" s="17">
        <v>4.25</v>
      </c>
      <c r="O8" s="18">
        <v>13.04</v>
      </c>
      <c r="P8" s="14">
        <v>76758829457</v>
      </c>
    </row>
    <row r="9" spans="1:16" ht="26.25" customHeight="1" thickBot="1">
      <c r="A9" s="10" t="s">
        <v>38</v>
      </c>
      <c r="B9" s="10">
        <v>2020</v>
      </c>
      <c r="C9" s="11">
        <v>-0.77383030799999997</v>
      </c>
      <c r="D9" s="10">
        <f t="shared" si="0"/>
        <v>0.13014472741220259</v>
      </c>
      <c r="E9" s="10">
        <f t="shared" si="1"/>
        <v>27.714326495271916</v>
      </c>
      <c r="F9" s="10">
        <f t="shared" si="2"/>
        <v>0.56818181818181812</v>
      </c>
      <c r="G9" s="10">
        <f t="shared" si="3"/>
        <v>4.0525251152808146E-2</v>
      </c>
      <c r="I9" s="12">
        <v>-0.14996899299999999</v>
      </c>
      <c r="J9" s="13">
        <v>0.62386131600000005</v>
      </c>
      <c r="K9" s="8">
        <f>56665064940+68496672000</f>
        <v>125161736940</v>
      </c>
      <c r="L9" s="14">
        <v>961711929701</v>
      </c>
      <c r="M9" s="14">
        <v>1086873666641</v>
      </c>
      <c r="N9" s="17">
        <v>4.25</v>
      </c>
      <c r="O9" s="18">
        <v>7.48</v>
      </c>
      <c r="P9" s="14">
        <v>44045828312</v>
      </c>
    </row>
    <row r="10" spans="1:16" ht="26.25" customHeight="1" thickBot="1">
      <c r="A10" s="10" t="s">
        <v>38</v>
      </c>
      <c r="B10" s="10">
        <v>2021</v>
      </c>
      <c r="C10" s="11">
        <v>-0.82788479599999998</v>
      </c>
      <c r="D10" s="10">
        <f t="shared" si="0"/>
        <v>0.12166974876637904</v>
      </c>
      <c r="E10" s="10">
        <f t="shared" si="1"/>
        <v>27.768398139865219</v>
      </c>
      <c r="F10" s="10">
        <f t="shared" si="2"/>
        <v>0.41176470588235292</v>
      </c>
      <c r="G10" s="10">
        <f t="shared" si="3"/>
        <v>8.7222217924365561E-2</v>
      </c>
      <c r="I10" s="12">
        <v>-0.10435061399999999</v>
      </c>
      <c r="J10" s="13">
        <v>0.72353418199999997</v>
      </c>
      <c r="K10" s="8">
        <f>64332022572+60113618000</f>
        <v>124445640572</v>
      </c>
      <c r="L10" s="14">
        <v>1022814971131</v>
      </c>
      <c r="M10" s="14">
        <v>1147260611703</v>
      </c>
      <c r="N10" s="17">
        <v>7</v>
      </c>
      <c r="O10" s="18">
        <v>17</v>
      </c>
      <c r="P10" s="14">
        <v>100066615090</v>
      </c>
    </row>
    <row r="11" spans="1:16" ht="26.25" customHeight="1" thickBot="1">
      <c r="A11" s="10" t="s">
        <v>38</v>
      </c>
      <c r="B11" s="10">
        <v>2022</v>
      </c>
      <c r="C11" s="11">
        <v>-0.809795029</v>
      </c>
      <c r="D11" s="10">
        <f t="shared" si="0"/>
        <v>0.14467489842140685</v>
      </c>
      <c r="E11" s="10">
        <f t="shared" si="1"/>
        <v>27.708158960628449</v>
      </c>
      <c r="F11" s="10">
        <f t="shared" si="2"/>
        <v>0.41176470588235292</v>
      </c>
      <c r="G11" s="10">
        <f t="shared" si="3"/>
        <v>9.6925565487552379E-2</v>
      </c>
      <c r="I11" s="12">
        <v>-3.7400608000000002E-2</v>
      </c>
      <c r="J11" s="13">
        <v>0.772394421</v>
      </c>
      <c r="K11" s="8">
        <f>72411790739+60911639000</f>
        <v>133323429739</v>
      </c>
      <c r="L11" s="14">
        <v>921538091222</v>
      </c>
      <c r="M11" s="14">
        <v>1080190964730</v>
      </c>
      <c r="N11" s="17">
        <v>7</v>
      </c>
      <c r="O11" s="18">
        <v>17</v>
      </c>
      <c r="P11" s="14">
        <v>104698120091</v>
      </c>
    </row>
    <row r="12" spans="1:16" ht="39" customHeight="1" thickBot="1">
      <c r="A12" s="10" t="s">
        <v>42</v>
      </c>
      <c r="B12" s="10">
        <v>2018</v>
      </c>
      <c r="C12" s="11">
        <v>0.214809892</v>
      </c>
      <c r="D12" s="10">
        <f t="shared" si="0"/>
        <v>0.19690671601596363</v>
      </c>
      <c r="E12" s="10">
        <f t="shared" si="1"/>
        <v>25.484547102236689</v>
      </c>
      <c r="F12" s="10">
        <f t="shared" si="2"/>
        <v>0.64102564102564108</v>
      </c>
      <c r="G12" s="10">
        <f t="shared" si="3"/>
        <v>0.79258460875057501</v>
      </c>
      <c r="I12" s="12">
        <v>-0.139742163</v>
      </c>
      <c r="J12" s="13">
        <v>-0.354552056</v>
      </c>
      <c r="K12" s="8">
        <v>192308466864</v>
      </c>
      <c r="L12" s="14">
        <v>976647575842</v>
      </c>
      <c r="M12" s="14">
        <v>116895604270</v>
      </c>
      <c r="N12" s="17">
        <v>100</v>
      </c>
      <c r="O12" s="18">
        <v>156</v>
      </c>
      <c r="P12" s="14">
        <v>92649656775</v>
      </c>
    </row>
    <row r="13" spans="1:16" ht="39" customHeight="1" thickBot="1">
      <c r="A13" s="10" t="s">
        <v>42</v>
      </c>
      <c r="B13" s="10">
        <v>2019</v>
      </c>
      <c r="C13" s="11">
        <v>0.184409505</v>
      </c>
      <c r="D13" s="10">
        <f t="shared" si="0"/>
        <v>0.2314028749296019</v>
      </c>
      <c r="E13" s="10">
        <f t="shared" si="1"/>
        <v>27.962537910369512</v>
      </c>
      <c r="F13" s="10">
        <f t="shared" si="2"/>
        <v>0.27624309392265195</v>
      </c>
      <c r="G13" s="10">
        <f t="shared" si="3"/>
        <v>0.15466396119867423</v>
      </c>
      <c r="I13" s="12">
        <v>-0.20333424999999999</v>
      </c>
      <c r="J13" s="13">
        <v>-0.387743754</v>
      </c>
      <c r="K13" s="8">
        <v>261784845240</v>
      </c>
      <c r="L13" s="14">
        <v>1131294696834</v>
      </c>
      <c r="M13" s="14">
        <v>1393079542074</v>
      </c>
      <c r="N13" s="17">
        <v>100</v>
      </c>
      <c r="O13" s="18">
        <v>362</v>
      </c>
      <c r="P13" s="14">
        <v>215459200242</v>
      </c>
    </row>
    <row r="14" spans="1:16" ht="26.25" customHeight="1" thickBot="1">
      <c r="A14" s="10" t="s">
        <v>42</v>
      </c>
      <c r="B14" s="10">
        <v>2020</v>
      </c>
      <c r="C14" s="11">
        <v>-0.24944718299999999</v>
      </c>
      <c r="D14" s="10">
        <f t="shared" si="0"/>
        <v>0.24268675668207262</v>
      </c>
      <c r="E14" s="10">
        <f t="shared" si="1"/>
        <v>28.079975907073237</v>
      </c>
      <c r="F14" s="10">
        <f t="shared" si="2"/>
        <v>0.32679738562091504</v>
      </c>
      <c r="G14" s="10">
        <f t="shared" si="3"/>
        <v>0.11605006143251191</v>
      </c>
      <c r="I14" s="12">
        <v>7.5495639999999999E-3</v>
      </c>
      <c r="J14" s="13">
        <v>0.256996748</v>
      </c>
      <c r="K14" s="8">
        <v>305958833204</v>
      </c>
      <c r="L14" s="14">
        <v>1260714994864</v>
      </c>
      <c r="M14" s="14">
        <v>1566673828068</v>
      </c>
      <c r="N14" s="17">
        <v>100</v>
      </c>
      <c r="O14" s="18">
        <v>306</v>
      </c>
      <c r="P14" s="14">
        <v>181812593992</v>
      </c>
    </row>
    <row r="15" spans="1:16" ht="26.25" customHeight="1" thickBot="1">
      <c r="A15" s="10" t="s">
        <v>42</v>
      </c>
      <c r="B15" s="10">
        <v>2021</v>
      </c>
      <c r="C15" s="11">
        <v>-0.61445086100000001</v>
      </c>
      <c r="D15" s="10">
        <f t="shared" si="0"/>
        <v>0.22345943191590242</v>
      </c>
      <c r="E15" s="10">
        <f t="shared" si="1"/>
        <v>28.160111241275146</v>
      </c>
      <c r="F15" s="10">
        <f t="shared" si="2"/>
        <v>0.31847133757961782</v>
      </c>
      <c r="G15" s="10">
        <f t="shared" si="3"/>
        <v>0.11020879060641056</v>
      </c>
      <c r="I15" s="12">
        <v>0.17779621500000001</v>
      </c>
      <c r="J15" s="13">
        <v>0.79224707599999999</v>
      </c>
      <c r="K15" s="8">
        <v>310020233374</v>
      </c>
      <c r="L15" s="14">
        <v>1387366962835</v>
      </c>
      <c r="M15" s="14">
        <v>1697387196209</v>
      </c>
      <c r="N15" s="17">
        <v>100</v>
      </c>
      <c r="O15" s="18">
        <v>314</v>
      </c>
      <c r="P15" s="14">
        <v>187066990085</v>
      </c>
    </row>
    <row r="16" spans="1:16" ht="26.25" customHeight="1" thickBot="1">
      <c r="A16" s="10" t="s">
        <v>42</v>
      </c>
      <c r="B16" s="10">
        <v>2022</v>
      </c>
      <c r="C16" s="11">
        <v>-0.34951450699999997</v>
      </c>
      <c r="D16" s="10">
        <f t="shared" si="0"/>
        <v>0.11455207345349001</v>
      </c>
      <c r="E16" s="10">
        <f t="shared" si="1"/>
        <v>28.177116453496296</v>
      </c>
      <c r="F16" s="10">
        <f t="shared" si="2"/>
        <v>0.31847133757961782</v>
      </c>
      <c r="G16" s="10">
        <f t="shared" si="3"/>
        <v>8.1581359831798303E-2</v>
      </c>
      <c r="I16" s="12">
        <v>0.127423541</v>
      </c>
      <c r="J16" s="13">
        <v>0.47693804699999998</v>
      </c>
      <c r="K16" s="8">
        <v>168244583827</v>
      </c>
      <c r="L16" s="14">
        <v>1468717053780</v>
      </c>
      <c r="M16" s="14">
        <v>1726498445667</v>
      </c>
      <c r="N16" s="17">
        <v>100</v>
      </c>
      <c r="O16" s="18">
        <v>314</v>
      </c>
      <c r="P16" s="14">
        <v>140850090945</v>
      </c>
    </row>
    <row r="17" spans="1:16" ht="26.25" customHeight="1" thickBot="1">
      <c r="A17" s="10" t="s">
        <v>46</v>
      </c>
      <c r="B17" s="10">
        <v>2018</v>
      </c>
      <c r="C17" s="11">
        <v>-0.56795889700000002</v>
      </c>
      <c r="D17" s="10">
        <f t="shared" si="0"/>
        <v>0.31229286451786104</v>
      </c>
      <c r="E17" s="10">
        <f t="shared" si="1"/>
        <v>27.449419933515454</v>
      </c>
      <c r="F17" s="10">
        <f t="shared" si="2"/>
        <v>0</v>
      </c>
      <c r="G17" s="10">
        <f t="shared" si="3"/>
        <v>7.5859436086550144E-2</v>
      </c>
      <c r="I17" s="12">
        <v>-0.10376109</v>
      </c>
      <c r="J17" s="13">
        <v>0.46419780700000002</v>
      </c>
      <c r="K17" s="8">
        <v>198455391702</v>
      </c>
      <c r="L17" s="14">
        <v>635478469892</v>
      </c>
      <c r="M17" s="14">
        <v>833933861594</v>
      </c>
      <c r="N17" s="17">
        <v>0</v>
      </c>
      <c r="O17" s="18">
        <v>6</v>
      </c>
      <c r="P17" s="14">
        <v>63261752474</v>
      </c>
    </row>
    <row r="18" spans="1:16" ht="26.25" customHeight="1" thickBot="1">
      <c r="A18" s="10" t="s">
        <v>46</v>
      </c>
      <c r="B18" s="10">
        <v>2019</v>
      </c>
      <c r="C18" s="11">
        <v>-0.90013752800000002</v>
      </c>
      <c r="D18" s="10">
        <f t="shared" si="0"/>
        <v>0.62487957733111676</v>
      </c>
      <c r="E18" s="10">
        <f t="shared" si="1"/>
        <v>27.850272545730174</v>
      </c>
      <c r="F18" s="10">
        <f t="shared" si="2"/>
        <v>0</v>
      </c>
      <c r="G18" s="10">
        <f t="shared" si="3"/>
        <v>0.10501309873679403</v>
      </c>
      <c r="I18" s="12">
        <v>-8.0808106000000005E-2</v>
      </c>
      <c r="J18" s="13">
        <v>0.81932942200000003</v>
      </c>
      <c r="K18" s="8">
        <v>478844867693</v>
      </c>
      <c r="L18" s="14">
        <v>766299436026</v>
      </c>
      <c r="M18" s="14">
        <v>1245144303719</v>
      </c>
      <c r="N18" s="17">
        <v>0</v>
      </c>
      <c r="O18" s="18">
        <v>11</v>
      </c>
      <c r="P18" s="14">
        <v>130756461708</v>
      </c>
    </row>
    <row r="19" spans="1:16" ht="26.25" customHeight="1" thickBot="1">
      <c r="A19" s="10" t="s">
        <v>46</v>
      </c>
      <c r="B19" s="10">
        <v>2020</v>
      </c>
      <c r="C19" s="19">
        <v>-1041431207</v>
      </c>
      <c r="D19" s="10">
        <f t="shared" si="0"/>
        <v>0.46515319370954944</v>
      </c>
      <c r="E19" s="10">
        <f t="shared" si="1"/>
        <v>27.901765645847046</v>
      </c>
      <c r="F19" s="10">
        <f t="shared" si="2"/>
        <v>0.22727272727272727</v>
      </c>
      <c r="G19" s="10">
        <f t="shared" si="3"/>
        <v>0.10128016703823479</v>
      </c>
      <c r="I19" s="12">
        <v>-7.5617003000000002E-2</v>
      </c>
      <c r="J19" s="13">
        <v>0.96581420500000004</v>
      </c>
      <c r="K19" s="8">
        <v>416194010942</v>
      </c>
      <c r="L19" s="14">
        <v>894746110680</v>
      </c>
      <c r="M19" s="14">
        <v>1310940121622</v>
      </c>
      <c r="N19" s="17">
        <v>2.5</v>
      </c>
      <c r="O19" s="18">
        <v>11</v>
      </c>
      <c r="P19" s="14">
        <v>132772234495</v>
      </c>
    </row>
    <row r="20" spans="1:16" ht="26.25" customHeight="1" thickBot="1">
      <c r="A20" s="10" t="s">
        <v>46</v>
      </c>
      <c r="B20" s="10">
        <v>2021</v>
      </c>
      <c r="C20" s="11">
        <v>-0.78613459600000002</v>
      </c>
      <c r="D20" s="10">
        <f t="shared" si="0"/>
        <v>0.34605495370079392</v>
      </c>
      <c r="E20" s="10">
        <f t="shared" si="1"/>
        <v>27.929777820321338</v>
      </c>
      <c r="F20" s="10">
        <f t="shared" si="2"/>
        <v>0.16666666666666666</v>
      </c>
      <c r="G20" s="10">
        <f t="shared" si="3"/>
        <v>0.13404104470392239</v>
      </c>
      <c r="I20" s="12">
        <v>-9.4793450000000001E-2</v>
      </c>
      <c r="J20" s="13">
        <v>0.69134114599999996</v>
      </c>
      <c r="K20" s="8">
        <v>346601683606</v>
      </c>
      <c r="L20" s="14">
        <v>1001579893307</v>
      </c>
      <c r="M20" s="14">
        <v>1348181576913</v>
      </c>
      <c r="N20" s="17">
        <v>2.5</v>
      </c>
      <c r="O20" s="18">
        <v>15</v>
      </c>
      <c r="P20" s="14">
        <v>180711667020</v>
      </c>
    </row>
    <row r="21" spans="1:16" ht="26.25" customHeight="1" thickBot="1">
      <c r="A21" s="10" t="s">
        <v>46</v>
      </c>
      <c r="B21" s="10">
        <v>2022</v>
      </c>
      <c r="C21" s="11">
        <v>-0.75214112799999999</v>
      </c>
      <c r="D21" s="10">
        <f t="shared" si="0"/>
        <v>0.44564119904213229</v>
      </c>
      <c r="E21" s="10">
        <f t="shared" si="1"/>
        <v>28.129632199398525</v>
      </c>
      <c r="F21" s="10">
        <f t="shared" si="2"/>
        <v>0.16666666666666666</v>
      </c>
      <c r="G21" s="10">
        <f t="shared" si="3"/>
        <v>9.1680289618482486E-2</v>
      </c>
      <c r="I21" s="12">
        <v>-3.1500315000000001E-2</v>
      </c>
      <c r="J21" s="13">
        <v>0.72064081300000005</v>
      </c>
      <c r="K21" s="8">
        <v>508372748127</v>
      </c>
      <c r="L21" s="14">
        <v>1140766942598</v>
      </c>
      <c r="M21" s="14">
        <v>1646432924003</v>
      </c>
      <c r="N21" s="17">
        <v>2.5</v>
      </c>
      <c r="O21" s="18">
        <v>15</v>
      </c>
      <c r="P21" s="14">
        <v>150945447310</v>
      </c>
    </row>
    <row r="22" spans="1:16" ht="26.25" customHeight="1" thickBot="1">
      <c r="A22" s="10" t="s">
        <v>58</v>
      </c>
      <c r="B22" s="10">
        <v>2018</v>
      </c>
      <c r="C22" s="11">
        <v>-0.100793378</v>
      </c>
      <c r="D22" s="10">
        <f t="shared" si="0"/>
        <v>0.18638849139849692</v>
      </c>
      <c r="E22" s="10">
        <f t="shared" si="1"/>
        <v>28.052042705410408</v>
      </c>
      <c r="F22" s="10">
        <f t="shared" si="2"/>
        <v>1.1327014218009479</v>
      </c>
      <c r="G22" s="10">
        <f t="shared" si="3"/>
        <v>0.22194038351402368</v>
      </c>
      <c r="I22" s="12">
        <v>-3.254346E-3</v>
      </c>
      <c r="J22" s="13">
        <v>9.7539031999999998E-2</v>
      </c>
      <c r="K22" s="8">
        <v>239353356000</v>
      </c>
      <c r="L22" s="14">
        <v>1284163814000</v>
      </c>
      <c r="M22" s="14">
        <v>1523517170000</v>
      </c>
      <c r="N22" s="17">
        <v>478</v>
      </c>
      <c r="O22" s="18">
        <v>422</v>
      </c>
      <c r="P22" s="14">
        <v>338129985000</v>
      </c>
    </row>
    <row r="23" spans="1:16" ht="26.25" customHeight="1" thickBot="1">
      <c r="A23" s="10" t="s">
        <v>58</v>
      </c>
      <c r="B23" s="10">
        <v>2019</v>
      </c>
      <c r="C23" s="11">
        <v>-1.130395E-2</v>
      </c>
      <c r="D23" s="10">
        <f t="shared" si="0"/>
        <v>0.17503856980411797</v>
      </c>
      <c r="E23" s="10">
        <f t="shared" si="1"/>
        <v>27.985883022708233</v>
      </c>
      <c r="F23" s="10">
        <f t="shared" si="2"/>
        <v>0.98236775818639799</v>
      </c>
      <c r="G23" s="10">
        <f t="shared" si="3"/>
        <v>0.2228743372710113</v>
      </c>
      <c r="I23" s="12">
        <v>2.8519956999999999E-2</v>
      </c>
      <c r="J23" s="13">
        <v>3.9823905999999999E-2</v>
      </c>
      <c r="K23" s="8">
        <v>212420390000</v>
      </c>
      <c r="L23" s="14">
        <v>1213563332000</v>
      </c>
      <c r="M23" s="14">
        <v>1425983722000</v>
      </c>
      <c r="N23" s="17">
        <v>390</v>
      </c>
      <c r="O23" s="18">
        <v>397</v>
      </c>
      <c r="P23" s="14">
        <v>317815177000</v>
      </c>
    </row>
    <row r="24" spans="1:16" ht="26.25" customHeight="1" thickBot="1">
      <c r="A24" s="10" t="s">
        <v>58</v>
      </c>
      <c r="B24" s="10">
        <v>2020</v>
      </c>
      <c r="C24" s="11">
        <v>-0.10732209199999999</v>
      </c>
      <c r="D24" s="10">
        <f t="shared" si="0"/>
        <v>0.20166894708373187</v>
      </c>
      <c r="E24" s="10">
        <f t="shared" si="1"/>
        <v>27.834436062214863</v>
      </c>
      <c r="F24" s="10">
        <f t="shared" si="2"/>
        <v>1.6129032258064515</v>
      </c>
      <c r="G24" s="10">
        <f t="shared" si="3"/>
        <v>0.10074060446794833</v>
      </c>
      <c r="I24" s="12">
        <v>-8.6564899000000001E-2</v>
      </c>
      <c r="J24" s="13">
        <v>2.0757193E-2</v>
      </c>
      <c r="K24" s="8">
        <v>205681950000</v>
      </c>
      <c r="L24" s="14">
        <v>1019898963000</v>
      </c>
      <c r="M24" s="14">
        <v>1225580913000</v>
      </c>
      <c r="N24" s="17">
        <v>250</v>
      </c>
      <c r="O24" s="18">
        <v>155</v>
      </c>
      <c r="P24" s="14">
        <v>123465762000</v>
      </c>
    </row>
    <row r="25" spans="1:16" ht="26.25" customHeight="1" thickBot="1">
      <c r="A25" s="10" t="s">
        <v>58</v>
      </c>
      <c r="B25" s="10">
        <v>2021</v>
      </c>
      <c r="C25" s="11">
        <v>-0.23238186599999999</v>
      </c>
      <c r="D25" s="10">
        <f t="shared" si="0"/>
        <v>0.29554120673844259</v>
      </c>
      <c r="E25" s="10">
        <f t="shared" si="1"/>
        <v>27.900072254108704</v>
      </c>
      <c r="F25" s="10">
        <f t="shared" si="2"/>
        <v>1.6595744680851063</v>
      </c>
      <c r="G25" s="10">
        <f t="shared" si="3"/>
        <v>0.14364623553588515</v>
      </c>
      <c r="I25" s="12">
        <v>-0.120274097</v>
      </c>
      <c r="J25" s="13">
        <v>0.112107769</v>
      </c>
      <c r="K25" s="8">
        <v>298548048000</v>
      </c>
      <c r="L25" s="14">
        <v>1010174017000</v>
      </c>
      <c r="M25" s="14">
        <v>1308722065000</v>
      </c>
      <c r="N25" s="17">
        <v>390</v>
      </c>
      <c r="O25" s="18">
        <v>235</v>
      </c>
      <c r="P25" s="14">
        <v>187992998000</v>
      </c>
    </row>
    <row r="26" spans="1:16" ht="26.25" customHeight="1" thickBot="1">
      <c r="A26" s="10" t="s">
        <v>58</v>
      </c>
      <c r="B26" s="10">
        <v>2022</v>
      </c>
      <c r="C26" s="11">
        <v>-3.7165699000000003E-2</v>
      </c>
      <c r="D26" s="10">
        <f t="shared" si="0"/>
        <v>0.32198769990086429</v>
      </c>
      <c r="E26" s="10">
        <f t="shared" si="1"/>
        <v>27.849292196010879</v>
      </c>
      <c r="F26" s="10">
        <f t="shared" si="2"/>
        <v>1.6595744680851063</v>
      </c>
      <c r="G26" s="10">
        <f t="shared" si="3"/>
        <v>0.14602614479993747</v>
      </c>
      <c r="I26" s="12">
        <v>4.4536909E-2</v>
      </c>
      <c r="J26" s="13">
        <v>8.1702607999999996E-2</v>
      </c>
      <c r="K26" s="8">
        <v>306410502000</v>
      </c>
      <c r="L26" s="14">
        <v>951621761000</v>
      </c>
      <c r="M26" s="14">
        <v>1243924225000</v>
      </c>
      <c r="N26" s="17">
        <v>390</v>
      </c>
      <c r="O26" s="18">
        <v>235</v>
      </c>
      <c r="P26" s="14">
        <v>181645459000</v>
      </c>
    </row>
    <row r="27" spans="1:16" ht="26.25" customHeight="1" thickBot="1">
      <c r="A27" s="10" t="s">
        <v>86</v>
      </c>
      <c r="B27" s="20">
        <v>2018</v>
      </c>
      <c r="C27" s="11">
        <v>-2.4475991999999998E-2</v>
      </c>
      <c r="D27" s="10">
        <f t="shared" si="0"/>
        <v>0.51349478027845852</v>
      </c>
      <c r="E27" s="10">
        <f t="shared" si="1"/>
        <v>31.168122369492632</v>
      </c>
      <c r="F27" s="10">
        <f t="shared" si="2"/>
        <v>0.49744897959183676</v>
      </c>
      <c r="G27" s="10">
        <f t="shared" si="3"/>
        <v>0.13555911948830909</v>
      </c>
      <c r="I27" s="12">
        <v>1.7097E-4</v>
      </c>
      <c r="J27" s="13">
        <v>2.4646962000000001E-2</v>
      </c>
      <c r="K27" s="8">
        <v>11660003000000</v>
      </c>
      <c r="L27" s="14">
        <v>22707150000000</v>
      </c>
      <c r="M27" s="14">
        <v>34367153000000</v>
      </c>
      <c r="N27" s="17">
        <v>195</v>
      </c>
      <c r="O27" s="18">
        <v>392</v>
      </c>
      <c r="P27" s="14">
        <v>4658781000000</v>
      </c>
    </row>
    <row r="28" spans="1:16" ht="39" customHeight="1" thickBot="1">
      <c r="A28" s="10" t="s">
        <v>86</v>
      </c>
      <c r="B28" s="20">
        <v>2019</v>
      </c>
      <c r="C28" s="11">
        <v>-4.7227746000000001E-2</v>
      </c>
      <c r="D28" s="10">
        <f t="shared" si="0"/>
        <v>0.45135776906722719</v>
      </c>
      <c r="E28" s="10">
        <f t="shared" si="1"/>
        <v>31.28710135884209</v>
      </c>
      <c r="F28" s="10">
        <f t="shared" si="2"/>
        <v>0.49768518518518517</v>
      </c>
      <c r="G28" s="10">
        <f t="shared" si="3"/>
        <v>0.13846871582379372</v>
      </c>
      <c r="I28" s="12">
        <v>-5.9304651E-2</v>
      </c>
      <c r="J28" s="13">
        <v>-1.2076905000000001E-2</v>
      </c>
      <c r="K28" s="8">
        <v>12038210000000</v>
      </c>
      <c r="L28" s="14">
        <v>26671104000000</v>
      </c>
      <c r="M28" s="14">
        <v>38709314000000</v>
      </c>
      <c r="N28" s="17">
        <v>215</v>
      </c>
      <c r="O28" s="18">
        <v>432</v>
      </c>
      <c r="P28" s="14">
        <v>5360029000000</v>
      </c>
    </row>
    <row r="29" spans="1:16" ht="26.25" customHeight="1" thickBot="1">
      <c r="A29" s="10" t="s">
        <v>86</v>
      </c>
      <c r="B29" s="20">
        <v>2020</v>
      </c>
      <c r="C29" s="11">
        <v>-7.5816028999999993E-2</v>
      </c>
      <c r="D29" s="10">
        <f t="shared" si="0"/>
        <v>1.0586711691726227</v>
      </c>
      <c r="E29" s="10">
        <f t="shared" si="1"/>
        <v>32.2714457463534</v>
      </c>
      <c r="F29" s="10">
        <f t="shared" si="2"/>
        <v>0.38053097345132741</v>
      </c>
      <c r="G29" s="10">
        <f t="shared" si="3"/>
        <v>7.1615927760198844E-2</v>
      </c>
      <c r="I29" s="12">
        <v>-4.955412E-2</v>
      </c>
      <c r="J29" s="13">
        <v>2.6261908E-2</v>
      </c>
      <c r="K29" s="8">
        <v>53270272000000</v>
      </c>
      <c r="L29" s="14">
        <v>50318053000000</v>
      </c>
      <c r="M29" s="14">
        <v>103588325000000</v>
      </c>
      <c r="N29" s="17">
        <v>215</v>
      </c>
      <c r="O29" s="18">
        <v>565</v>
      </c>
      <c r="P29" s="14">
        <v>7418574000000</v>
      </c>
    </row>
    <row r="30" spans="1:16" ht="26.25" customHeight="1" thickBot="1">
      <c r="A30" s="10" t="s">
        <v>86</v>
      </c>
      <c r="B30" s="20">
        <v>2021</v>
      </c>
      <c r="C30" s="11">
        <v>4.2582805000000001E-2</v>
      </c>
      <c r="D30" s="10">
        <f t="shared" si="0"/>
        <v>1.1574980552816603</v>
      </c>
      <c r="E30" s="10">
        <f t="shared" si="1"/>
        <v>32.402270225110527</v>
      </c>
      <c r="F30" s="10">
        <f t="shared" si="2"/>
        <v>0.39233576642335766</v>
      </c>
      <c r="G30" s="10">
        <f t="shared" si="3"/>
        <v>6.6913759915291221E-2</v>
      </c>
      <c r="I30" s="12">
        <v>-8.5682399999999995E-4</v>
      </c>
      <c r="J30" s="13">
        <v>-4.343963E-2</v>
      </c>
      <c r="K30" s="8">
        <v>63342765000000</v>
      </c>
      <c r="L30" s="14">
        <v>54723863000000</v>
      </c>
      <c r="M30" s="14">
        <v>118066628000000</v>
      </c>
      <c r="N30" s="17">
        <v>215</v>
      </c>
      <c r="O30" s="18">
        <v>548</v>
      </c>
      <c r="P30" s="14">
        <v>7900282000000</v>
      </c>
    </row>
    <row r="31" spans="1:16" ht="26.25" customHeight="1" thickBot="1">
      <c r="A31" s="10" t="s">
        <v>86</v>
      </c>
      <c r="B31" s="20">
        <v>2022</v>
      </c>
      <c r="C31" s="11">
        <v>-4.6610101000000001E-2</v>
      </c>
      <c r="D31" s="10">
        <f t="shared" si="0"/>
        <v>0.63601358574706501</v>
      </c>
      <c r="E31" s="10">
        <f t="shared" si="1"/>
        <v>32.844564573215372</v>
      </c>
      <c r="F31" s="10">
        <f t="shared" si="2"/>
        <v>0.39233576642335766</v>
      </c>
      <c r="G31" s="10">
        <f t="shared" si="3"/>
        <v>3.6375060855730279E-2</v>
      </c>
      <c r="I31" s="12">
        <v>-2.9729610000000001E-3</v>
      </c>
      <c r="J31" s="13">
        <v>4.3637138999999998E-2</v>
      </c>
      <c r="K31" s="8">
        <v>57832529000000</v>
      </c>
      <c r="L31" s="14">
        <v>90929707000000</v>
      </c>
      <c r="M31" s="14">
        <v>183743995000000</v>
      </c>
      <c r="N31" s="17">
        <v>215</v>
      </c>
      <c r="O31" s="18">
        <v>548</v>
      </c>
      <c r="P31" s="14">
        <v>6683699000000</v>
      </c>
    </row>
    <row r="32" spans="1:16" ht="15.75" thickBot="1">
      <c r="A32" s="10" t="s">
        <v>98</v>
      </c>
      <c r="B32" s="20">
        <v>2018</v>
      </c>
      <c r="C32" s="19">
        <v>2479315505</v>
      </c>
      <c r="D32" s="10">
        <f t="shared" si="0"/>
        <v>0.933974052823899</v>
      </c>
      <c r="E32" s="10">
        <f t="shared" si="1"/>
        <v>32.200955715985231</v>
      </c>
      <c r="F32" s="10">
        <f t="shared" si="2"/>
        <v>0.49789029535864981</v>
      </c>
      <c r="G32" s="10">
        <f t="shared" si="3"/>
        <v>5.1398014100094022E-2</v>
      </c>
      <c r="I32" s="12">
        <v>-1.1017740999999999E-2</v>
      </c>
      <c r="J32" s="21">
        <v>-2.4903332470000001</v>
      </c>
      <c r="K32" s="8">
        <v>46620996000000</v>
      </c>
      <c r="L32" s="14">
        <v>49916800000000</v>
      </c>
      <c r="M32" s="14">
        <v>96537796000000</v>
      </c>
      <c r="N32" s="17">
        <v>236</v>
      </c>
      <c r="O32" s="18">
        <v>474</v>
      </c>
      <c r="P32" s="14">
        <v>4961851000000</v>
      </c>
    </row>
    <row r="33" spans="1:16" ht="15.75" thickBot="1">
      <c r="A33" s="10" t="s">
        <v>98</v>
      </c>
      <c r="B33" s="20">
        <v>2019</v>
      </c>
      <c r="C33" s="19">
        <v>222688872</v>
      </c>
      <c r="D33" s="10">
        <f t="shared" si="0"/>
        <v>0.77479969185178366</v>
      </c>
      <c r="E33" s="10">
        <f t="shared" si="1"/>
        <v>32.197435494278039</v>
      </c>
      <c r="F33" s="10">
        <f t="shared" si="2"/>
        <v>0.42218246869409659</v>
      </c>
      <c r="G33" s="10">
        <f t="shared" si="3"/>
        <v>6.1359848435983327E-2</v>
      </c>
      <c r="I33" s="12">
        <v>-7.7086542999999993E-2</v>
      </c>
      <c r="J33" s="22">
        <v>-2.3039752629999999</v>
      </c>
      <c r="K33" s="8">
        <v>41996071000000</v>
      </c>
      <c r="L33" s="14">
        <v>54202488000000</v>
      </c>
      <c r="M33" s="14">
        <v>96198559000000</v>
      </c>
      <c r="N33" s="17">
        <v>236</v>
      </c>
      <c r="O33" s="18">
        <v>559</v>
      </c>
      <c r="P33" s="14">
        <v>5902729000000</v>
      </c>
    </row>
    <row r="34" spans="1:16" ht="15.75" thickBot="1">
      <c r="A34" s="10" t="s">
        <v>98</v>
      </c>
      <c r="B34" s="20">
        <v>2020</v>
      </c>
      <c r="C34" s="19">
        <v>2377382107</v>
      </c>
      <c r="D34" s="10">
        <f t="shared" si="0"/>
        <v>1.0614170853148708</v>
      </c>
      <c r="E34" s="10">
        <f t="shared" si="1"/>
        <v>32.725608487682294</v>
      </c>
      <c r="F34" s="10">
        <f t="shared" si="2"/>
        <v>0.37823129251700682</v>
      </c>
      <c r="G34" s="10">
        <f t="shared" si="3"/>
        <v>5.3648724482996804E-2</v>
      </c>
      <c r="I34" s="12">
        <v>-5.3051013000000001E-2</v>
      </c>
      <c r="J34" s="22">
        <v>-2.43043312</v>
      </c>
      <c r="K34" s="8">
        <v>83998472000000</v>
      </c>
      <c r="L34" s="14">
        <v>79138044000000</v>
      </c>
      <c r="M34" s="14">
        <v>163136516000000</v>
      </c>
      <c r="N34" s="17">
        <v>278</v>
      </c>
      <c r="O34" s="18">
        <v>735</v>
      </c>
      <c r="P34" s="14">
        <v>8752066000000</v>
      </c>
    </row>
    <row r="35" spans="1:16" ht="15.75" thickBot="1">
      <c r="A35" s="10" t="s">
        <v>98</v>
      </c>
      <c r="B35" s="20">
        <v>2021</v>
      </c>
      <c r="C35" s="19">
        <v>1122213492</v>
      </c>
      <c r="D35" s="10">
        <f t="shared" si="0"/>
        <v>1.0703200110176236</v>
      </c>
      <c r="E35" s="10">
        <f t="shared" si="1"/>
        <v>32.820394849558802</v>
      </c>
      <c r="F35" s="10">
        <f t="shared" si="2"/>
        <v>0.31954022988505748</v>
      </c>
      <c r="G35" s="10">
        <f t="shared" si="3"/>
        <v>6.2465559803669558E-2</v>
      </c>
      <c r="I35" s="12">
        <v>-2.1387338999999998E-2</v>
      </c>
      <c r="J35" s="22">
        <v>-1.1436008310000001</v>
      </c>
      <c r="K35" s="8">
        <v>92724082000000</v>
      </c>
      <c r="L35" s="14">
        <v>86632111000000</v>
      </c>
      <c r="M35" s="14">
        <v>179356193000000</v>
      </c>
      <c r="N35" s="17">
        <v>278</v>
      </c>
      <c r="O35" s="18">
        <v>870</v>
      </c>
      <c r="P35" s="14">
        <v>11203585000000</v>
      </c>
    </row>
    <row r="36" spans="1:16" ht="15.75" thickBot="1">
      <c r="A36" s="10" t="s">
        <v>98</v>
      </c>
      <c r="B36" s="20">
        <v>2022</v>
      </c>
      <c r="C36" s="19">
        <v>1274766762</v>
      </c>
      <c r="D36" s="10">
        <f t="shared" si="0"/>
        <v>0.95469637881930047</v>
      </c>
      <c r="E36" s="10">
        <f t="shared" si="1"/>
        <v>32.844564573215372</v>
      </c>
      <c r="F36" s="10">
        <f t="shared" si="2"/>
        <v>0.31954022988505748</v>
      </c>
      <c r="G36" s="10">
        <f t="shared" si="3"/>
        <v>3.6375060855730279E-2</v>
      </c>
      <c r="I36" s="12">
        <v>-2.9729610000000001E-3</v>
      </c>
      <c r="J36" s="22">
        <v>-1.2777397239999999</v>
      </c>
      <c r="K36" s="8">
        <v>86810262000000</v>
      </c>
      <c r="L36" s="14">
        <v>90929707000000</v>
      </c>
      <c r="M36" s="14">
        <v>183743995000000</v>
      </c>
      <c r="N36" s="17">
        <v>278</v>
      </c>
      <c r="O36" s="18">
        <v>870</v>
      </c>
      <c r="P36" s="14">
        <v>6683699000000</v>
      </c>
    </row>
    <row r="37" spans="1:16" ht="15.75" thickBot="1">
      <c r="A37" s="10" t="s">
        <v>110</v>
      </c>
      <c r="B37" s="20">
        <v>2018</v>
      </c>
      <c r="C37" s="19">
        <v>1114310443</v>
      </c>
      <c r="D37" s="10">
        <f t="shared" si="0"/>
        <v>1.4748710104013922</v>
      </c>
      <c r="E37" s="10">
        <f t="shared" si="1"/>
        <v>28.692104938784819</v>
      </c>
      <c r="F37" s="10">
        <f t="shared" si="2"/>
        <v>0.92254733218588636</v>
      </c>
      <c r="G37" s="10">
        <f t="shared" si="3"/>
        <v>0.4238818398055581</v>
      </c>
      <c r="I37" s="12">
        <v>-7.4781739999999999E-2</v>
      </c>
      <c r="J37" s="13">
        <v>-1.1890921830000001</v>
      </c>
      <c r="K37" s="8">
        <v>1721965000000</v>
      </c>
      <c r="L37" s="14">
        <v>1167536000000</v>
      </c>
      <c r="M37" s="14">
        <v>2889501000000</v>
      </c>
      <c r="N37" s="17">
        <v>536</v>
      </c>
      <c r="O37" s="18">
        <v>581</v>
      </c>
      <c r="P37" s="14">
        <v>1224807000000</v>
      </c>
    </row>
    <row r="38" spans="1:16" ht="15.75" thickBot="1">
      <c r="A38" s="10" t="s">
        <v>110</v>
      </c>
      <c r="B38" s="20">
        <v>2019</v>
      </c>
      <c r="C38" s="11">
        <v>0.96646845000000003</v>
      </c>
      <c r="D38" s="10">
        <f t="shared" si="0"/>
        <v>1.5278641404459135</v>
      </c>
      <c r="E38" s="10">
        <f t="shared" si="1"/>
        <v>28.694679575333129</v>
      </c>
      <c r="F38" s="10">
        <f t="shared" si="2"/>
        <v>0.93706293706293708</v>
      </c>
      <c r="G38" s="10">
        <f t="shared" si="3"/>
        <v>0.41632026786793008</v>
      </c>
      <c r="I38" s="12">
        <v>-4.4459234E-2</v>
      </c>
      <c r="J38" s="13">
        <v>-1.010927683</v>
      </c>
      <c r="K38" s="8">
        <v>1750943000000</v>
      </c>
      <c r="L38" s="14">
        <v>1146007000000</v>
      </c>
      <c r="M38" s="14">
        <v>2896950000000</v>
      </c>
      <c r="N38" s="17">
        <v>536</v>
      </c>
      <c r="O38" s="18">
        <v>572</v>
      </c>
      <c r="P38" s="14">
        <v>1206059000000</v>
      </c>
    </row>
    <row r="39" spans="1:16" ht="39" customHeight="1" thickBot="1">
      <c r="A39" s="10" t="s">
        <v>110</v>
      </c>
      <c r="B39" s="20">
        <v>2020</v>
      </c>
      <c r="C39" s="19">
        <v>123090735</v>
      </c>
      <c r="D39" s="10">
        <f t="shared" si="0"/>
        <v>1.0283332147346949</v>
      </c>
      <c r="E39" s="10">
        <f t="shared" si="1"/>
        <v>28.698288925649688</v>
      </c>
      <c r="F39" s="10">
        <f t="shared" si="2"/>
        <v>0.92254733218588636</v>
      </c>
      <c r="G39" s="10">
        <f t="shared" si="3"/>
        <v>9.8237099839204797E-2</v>
      </c>
      <c r="I39" s="12">
        <v>0.38397625099999999</v>
      </c>
      <c r="J39" s="13">
        <v>-0.84693109899999997</v>
      </c>
      <c r="K39" s="8">
        <v>1474019000000</v>
      </c>
      <c r="L39" s="14">
        <v>1433406000000</v>
      </c>
      <c r="M39" s="14">
        <v>2907425000000</v>
      </c>
      <c r="N39" s="17">
        <v>536</v>
      </c>
      <c r="O39" s="18">
        <v>581</v>
      </c>
      <c r="P39" s="14">
        <v>285617000000</v>
      </c>
    </row>
    <row r="40" spans="1:16" ht="39" customHeight="1" thickBot="1">
      <c r="A40" s="10" t="s">
        <v>110</v>
      </c>
      <c r="B40" s="20">
        <v>2021</v>
      </c>
      <c r="C40" s="19">
        <v>142732086</v>
      </c>
      <c r="D40" s="10">
        <f t="shared" si="0"/>
        <v>1.6584164045718675</v>
      </c>
      <c r="E40" s="10">
        <f t="shared" si="1"/>
        <v>28.703295247173056</v>
      </c>
      <c r="F40" s="10">
        <f t="shared" si="2"/>
        <v>0.93706293706293708</v>
      </c>
      <c r="G40" s="10">
        <f t="shared" si="3"/>
        <v>0.22787341757423041</v>
      </c>
      <c r="I40" s="12">
        <v>0.44908329499999999</v>
      </c>
      <c r="J40" s="13">
        <v>-0.97823756500000003</v>
      </c>
      <c r="K40" s="8">
        <v>1822860000000</v>
      </c>
      <c r="L40" s="14">
        <v>1099157000000</v>
      </c>
      <c r="M40" s="14">
        <v>2922017000000</v>
      </c>
      <c r="N40" s="17">
        <v>536</v>
      </c>
      <c r="O40" s="18">
        <v>572</v>
      </c>
      <c r="P40" s="14">
        <v>665850000000</v>
      </c>
    </row>
    <row r="41" spans="1:16" ht="39" customHeight="1" thickBot="1">
      <c r="A41" s="10" t="s">
        <v>110</v>
      </c>
      <c r="B41" s="20">
        <v>2022</v>
      </c>
      <c r="C41" s="11">
        <v>0.84993534500000001</v>
      </c>
      <c r="D41" s="10">
        <f t="shared" si="0"/>
        <v>2.7226979144605838</v>
      </c>
      <c r="E41" s="10">
        <f t="shared" si="1"/>
        <v>28.667478174496779</v>
      </c>
      <c r="F41" s="10">
        <f t="shared" si="2"/>
        <v>0.93706293706293708</v>
      </c>
      <c r="G41" s="10">
        <f t="shared" si="3"/>
        <v>0.21519318702998819</v>
      </c>
      <c r="I41" s="12">
        <v>-0.119529421</v>
      </c>
      <c r="J41" s="13">
        <v>-0.96946476599999998</v>
      </c>
      <c r="K41" s="8">
        <v>2301227000000</v>
      </c>
      <c r="L41" s="14">
        <v>845201000000</v>
      </c>
      <c r="M41" s="14">
        <v>2819211000000</v>
      </c>
      <c r="N41" s="17">
        <v>536</v>
      </c>
      <c r="O41" s="18">
        <v>572</v>
      </c>
      <c r="P41" s="14">
        <v>606675000000</v>
      </c>
    </row>
    <row r="42" spans="1:16" ht="26.25" customHeight="1" thickBot="1">
      <c r="A42" s="10" t="s">
        <v>114</v>
      </c>
      <c r="B42" s="20">
        <v>2018</v>
      </c>
      <c r="C42" s="11">
        <v>-0.17022642199999999</v>
      </c>
      <c r="D42" s="10">
        <f t="shared" si="0"/>
        <v>0.42235342064528919</v>
      </c>
      <c r="E42" s="10">
        <f t="shared" si="1"/>
        <v>30.498448681151473</v>
      </c>
      <c r="F42" s="10">
        <f t="shared" si="2"/>
        <v>0.37662337662337664</v>
      </c>
      <c r="G42" s="10">
        <f t="shared" si="3"/>
        <v>0.10007183144204174</v>
      </c>
      <c r="I42" s="12">
        <v>8.7233450000000004E-2</v>
      </c>
      <c r="J42" s="13">
        <v>0.25745987199999998</v>
      </c>
      <c r="K42" s="8">
        <f>58424189572+3549548693286</f>
        <v>3607972882858</v>
      </c>
      <c r="L42" s="14">
        <v>8542544481694</v>
      </c>
      <c r="M42" s="14">
        <v>17591706426634</v>
      </c>
      <c r="N42" s="17">
        <v>29</v>
      </c>
      <c r="O42" s="18">
        <v>77</v>
      </c>
      <c r="P42" s="14">
        <v>1760434280304</v>
      </c>
    </row>
    <row r="43" spans="1:16" ht="26.25" customHeight="1" thickBot="1">
      <c r="A43" s="10" t="s">
        <v>114</v>
      </c>
      <c r="B43" s="20">
        <v>2019</v>
      </c>
      <c r="C43" s="11">
        <v>-0.188913265</v>
      </c>
      <c r="D43" s="10">
        <f t="shared" si="0"/>
        <v>0.37395760547835122</v>
      </c>
      <c r="E43" s="10">
        <f t="shared" si="1"/>
        <v>30.577453832934669</v>
      </c>
      <c r="F43" s="10">
        <f t="shared" si="2"/>
        <v>0.33707865168539325</v>
      </c>
      <c r="G43" s="10">
        <f t="shared" si="3"/>
        <v>0.10712327473896942</v>
      </c>
      <c r="I43" s="12">
        <v>-7.1878191999999994E-2</v>
      </c>
      <c r="J43" s="13">
        <v>0.117035073</v>
      </c>
      <c r="K43" s="8">
        <f>51204250843+3650953678977</f>
        <v>3702157929820</v>
      </c>
      <c r="L43" s="14">
        <v>9899940195318</v>
      </c>
      <c r="M43" s="14">
        <v>19037918806473</v>
      </c>
      <c r="N43" s="17">
        <v>30</v>
      </c>
      <c r="O43" s="18">
        <v>89</v>
      </c>
      <c r="P43" s="14">
        <v>2039404206764</v>
      </c>
    </row>
    <row r="44" spans="1:16" ht="26.25" customHeight="1" thickBot="1">
      <c r="A44" s="10" t="s">
        <v>114</v>
      </c>
      <c r="B44" s="20">
        <v>2020</v>
      </c>
      <c r="C44" s="11">
        <v>-0.190733494</v>
      </c>
      <c r="D44" s="10">
        <f t="shared" si="0"/>
        <v>0.26737250399171825</v>
      </c>
      <c r="E44" s="10">
        <f t="shared" si="1"/>
        <v>30.6155660698589</v>
      </c>
      <c r="F44" s="10">
        <f t="shared" si="2"/>
        <v>0.56521739130434778</v>
      </c>
      <c r="G44" s="10">
        <f t="shared" si="3"/>
        <v>0.10608967058812084</v>
      </c>
      <c r="I44" s="12">
        <v>-8.4970629000000006E-2</v>
      </c>
      <c r="J44" s="13">
        <v>0.105762865</v>
      </c>
      <c r="K44" s="8">
        <f>70928429104+2942757554526</f>
        <v>3013685983630</v>
      </c>
      <c r="L44" s="14">
        <v>11271488049958</v>
      </c>
      <c r="M44" s="14">
        <v>19777500514550</v>
      </c>
      <c r="N44" s="17">
        <v>52</v>
      </c>
      <c r="O44" s="18">
        <v>92</v>
      </c>
      <c r="P44" s="14">
        <v>2098188514645</v>
      </c>
    </row>
    <row r="45" spans="1:16" ht="26.25" customHeight="1" thickBot="1">
      <c r="A45" s="10" t="s">
        <v>114</v>
      </c>
      <c r="B45" s="20">
        <v>2021</v>
      </c>
      <c r="C45" s="11">
        <v>-0.207419767</v>
      </c>
      <c r="D45" s="10">
        <f t="shared" si="0"/>
        <v>0.2306181347055378</v>
      </c>
      <c r="E45" s="10">
        <f t="shared" si="1"/>
        <v>30.622627553189677</v>
      </c>
      <c r="F45" s="10">
        <f t="shared" si="2"/>
        <v>0.56603773584905659</v>
      </c>
      <c r="G45" s="10">
        <f t="shared" si="3"/>
        <v>6.0802978734899468E-2</v>
      </c>
      <c r="I45" s="12">
        <v>8.5500009999999998E-3</v>
      </c>
      <c r="J45" s="13">
        <v>0.21596976700000001</v>
      </c>
      <c r="K45" s="8">
        <f>65554436250+2554274814523</f>
        <v>2619829250773</v>
      </c>
      <c r="L45" s="14">
        <v>11360031396135</v>
      </c>
      <c r="M45" s="14">
        <v>19917653265528</v>
      </c>
      <c r="N45" s="17">
        <v>30</v>
      </c>
      <c r="O45" s="18">
        <v>53</v>
      </c>
      <c r="P45" s="14">
        <v>1211052647953</v>
      </c>
    </row>
    <row r="46" spans="1:16" ht="26.25" customHeight="1" thickBot="1">
      <c r="A46" s="10" t="s">
        <v>114</v>
      </c>
      <c r="B46" s="20">
        <v>2022</v>
      </c>
      <c r="C46" s="11">
        <v>-0.15024902800000001</v>
      </c>
      <c r="D46" s="10">
        <f t="shared" si="0"/>
        <v>0.33088114648692885</v>
      </c>
      <c r="E46" s="10">
        <f t="shared" si="1"/>
        <v>30.74442468797767</v>
      </c>
      <c r="F46" s="10">
        <f t="shared" si="2"/>
        <v>0.56603773584905659</v>
      </c>
      <c r="G46" s="10">
        <f t="shared" si="3"/>
        <v>4.9149993123317276E-2</v>
      </c>
      <c r="I46" s="12">
        <v>3.7676567000000001E-2</v>
      </c>
      <c r="J46" s="13">
        <v>0.187925595</v>
      </c>
      <c r="K46" s="8">
        <f>81071465999+3869361169625</f>
        <v>3950432635624</v>
      </c>
      <c r="L46" s="14">
        <v>11939128830902</v>
      </c>
      <c r="M46" s="14">
        <v>22497486054325</v>
      </c>
      <c r="N46" s="17">
        <v>30</v>
      </c>
      <c r="O46" s="18">
        <v>53</v>
      </c>
      <c r="P46" s="14">
        <v>1105751284862</v>
      </c>
    </row>
    <row r="47" spans="1:16" ht="39" customHeight="1" thickBot="1">
      <c r="A47" s="23" t="s">
        <v>177</v>
      </c>
      <c r="B47" s="20">
        <v>2018</v>
      </c>
      <c r="C47" s="11">
        <v>0.26094482499999999</v>
      </c>
      <c r="D47" s="10">
        <f t="shared" si="0"/>
        <v>0.50632818870315277</v>
      </c>
      <c r="E47" s="10">
        <f t="shared" si="1"/>
        <v>29.111217934859436</v>
      </c>
      <c r="F47" s="10">
        <f t="shared" si="2"/>
        <v>0.34841467759173494</v>
      </c>
      <c r="G47" s="10">
        <f t="shared" si="3"/>
        <v>2.8943314649241429E-2</v>
      </c>
      <c r="I47" s="12">
        <v>-3.7010263000000002E-2</v>
      </c>
      <c r="J47" s="13">
        <v>-0.29795508700000001</v>
      </c>
      <c r="K47" s="8">
        <v>1476909260772</v>
      </c>
      <c r="L47" s="14">
        <v>2916901120111</v>
      </c>
      <c r="M47" s="14">
        <v>4393810380883</v>
      </c>
      <c r="N47" s="17">
        <v>9.7799999999999994</v>
      </c>
      <c r="O47" s="18">
        <v>28.07</v>
      </c>
      <c r="P47" s="14">
        <v>127171436363</v>
      </c>
    </row>
    <row r="48" spans="1:16" ht="39" customHeight="1" thickBot="1">
      <c r="A48" s="23" t="s">
        <v>177</v>
      </c>
      <c r="B48" s="20">
        <v>2019</v>
      </c>
      <c r="C48" s="11">
        <v>0.224675816</v>
      </c>
      <c r="D48" s="10">
        <f t="shared" si="0"/>
        <v>0.51396488808967122</v>
      </c>
      <c r="E48" s="10">
        <f t="shared" si="1"/>
        <v>29.174764392771777</v>
      </c>
      <c r="F48" s="10">
        <f t="shared" si="2"/>
        <v>0.5220125786163522</v>
      </c>
      <c r="G48" s="10">
        <f t="shared" si="3"/>
        <v>5.0515660388067068E-2</v>
      </c>
      <c r="I48" s="12">
        <v>-5.5366515999999998E-2</v>
      </c>
      <c r="J48" s="13">
        <v>-0.280042332</v>
      </c>
      <c r="K48" s="8">
        <v>1589486465854</v>
      </c>
      <c r="L48" s="14">
        <v>3092597379097</v>
      </c>
      <c r="M48" s="14">
        <v>4682083844951</v>
      </c>
      <c r="N48" s="17">
        <v>25.73</v>
      </c>
      <c r="O48" s="18">
        <v>49.29</v>
      </c>
      <c r="P48" s="14">
        <v>236518557420</v>
      </c>
    </row>
    <row r="49" spans="1:16" ht="39" customHeight="1" thickBot="1">
      <c r="A49" s="23" t="s">
        <v>177</v>
      </c>
      <c r="B49" s="20">
        <v>2020</v>
      </c>
      <c r="C49" s="11">
        <v>0.29658600400000001</v>
      </c>
      <c r="D49" s="10">
        <f t="shared" si="0"/>
        <v>0.37937435573392786</v>
      </c>
      <c r="E49" s="10">
        <f t="shared" si="1"/>
        <v>29.124411986193863</v>
      </c>
      <c r="F49" s="10">
        <f t="shared" si="2"/>
        <v>1.3476931628682602</v>
      </c>
      <c r="G49" s="10">
        <f t="shared" si="3"/>
        <v>3.7871511760548052E-2</v>
      </c>
      <c r="I49" s="12">
        <v>-6.7914480999999999E-2</v>
      </c>
      <c r="J49" s="13">
        <v>-0.36450048600000001</v>
      </c>
      <c r="K49" s="8">
        <v>1224495624254</v>
      </c>
      <c r="L49" s="14">
        <v>3227671047731</v>
      </c>
      <c r="M49" s="14">
        <v>4452166671985</v>
      </c>
      <c r="N49" s="17">
        <v>48.49</v>
      </c>
      <c r="O49" s="18">
        <v>35.979999999999997</v>
      </c>
      <c r="P49" s="14">
        <v>168610282478</v>
      </c>
    </row>
    <row r="50" spans="1:16" ht="39" customHeight="1" thickBot="1">
      <c r="A50" s="23" t="s">
        <v>177</v>
      </c>
      <c r="B50" s="20">
        <v>2021</v>
      </c>
      <c r="C50" s="11">
        <v>0.30336951899999998</v>
      </c>
      <c r="D50" s="10">
        <f t="shared" si="0"/>
        <v>0.47092570170216669</v>
      </c>
      <c r="E50" s="10">
        <f t="shared" si="1"/>
        <v>29.064028347678988</v>
      </c>
      <c r="F50" s="10">
        <f t="shared" si="2"/>
        <v>1.0516157015831706</v>
      </c>
      <c r="G50" s="10">
        <f t="shared" si="3"/>
        <v>6.7125170731387851E-2</v>
      </c>
      <c r="I50" s="12">
        <v>-8.1367229999999999E-2</v>
      </c>
      <c r="J50" s="13">
        <v>-0.38473674899999999</v>
      </c>
      <c r="K50" s="8">
        <v>1341864891951</v>
      </c>
      <c r="L50" s="14">
        <v>2849419530726</v>
      </c>
      <c r="M50" s="14">
        <v>4191284422677</v>
      </c>
      <c r="N50" s="17">
        <v>48.49</v>
      </c>
      <c r="O50" s="18">
        <v>46.11</v>
      </c>
      <c r="P50" s="14">
        <v>281340682456</v>
      </c>
    </row>
    <row r="51" spans="1:16" ht="39" customHeight="1" thickBot="1">
      <c r="A51" s="23" t="s">
        <v>177</v>
      </c>
      <c r="B51" s="20">
        <v>2022</v>
      </c>
      <c r="C51" s="11">
        <v>0.25868622400000002</v>
      </c>
      <c r="D51" s="10">
        <f t="shared" si="0"/>
        <v>0.57616025334039644</v>
      </c>
      <c r="E51" s="10">
        <f t="shared" si="1"/>
        <v>29.061086101342561</v>
      </c>
      <c r="F51" s="10">
        <f t="shared" si="2"/>
        <v>1.0516157015831706</v>
      </c>
      <c r="G51" s="10">
        <f t="shared" si="3"/>
        <v>6.2928999352053455E-2</v>
      </c>
      <c r="I51" s="12">
        <v>-5.5597503999999999E-2</v>
      </c>
      <c r="J51" s="13">
        <v>-0.31428372799999998</v>
      </c>
      <c r="K51" s="8">
        <v>1449163077319</v>
      </c>
      <c r="L51" s="14">
        <v>2515208345104</v>
      </c>
      <c r="M51" s="14">
        <v>4178970755244</v>
      </c>
      <c r="N51" s="17">
        <v>48.49</v>
      </c>
      <c r="O51" s="18">
        <v>46.11</v>
      </c>
      <c r="P51" s="14">
        <v>262978447949</v>
      </c>
    </row>
    <row r="52" spans="1:16" ht="39" customHeight="1" thickBot="1">
      <c r="A52" s="23" t="s">
        <v>178</v>
      </c>
      <c r="B52" s="20">
        <v>2018</v>
      </c>
      <c r="C52" s="11">
        <v>0.83859753400000003</v>
      </c>
      <c r="D52" s="10">
        <f t="shared" si="0"/>
        <v>0.7022927987685339</v>
      </c>
      <c r="E52" s="10">
        <f t="shared" si="1"/>
        <v>28.202772100477794</v>
      </c>
      <c r="F52" s="10">
        <f t="shared" si="2"/>
        <v>0.14981273408239701</v>
      </c>
      <c r="G52" s="10">
        <f t="shared" si="3"/>
        <v>9.0069656548189218E-3</v>
      </c>
      <c r="I52" s="12">
        <v>4.4210603000000001E-2</v>
      </c>
      <c r="J52" s="13">
        <v>-0.79438693100000002</v>
      </c>
      <c r="K52" s="8">
        <v>730789419438</v>
      </c>
      <c r="L52" s="14">
        <v>1040576552571</v>
      </c>
      <c r="M52" s="14">
        <v>1771365972009</v>
      </c>
      <c r="N52" s="17">
        <v>1.2</v>
      </c>
      <c r="O52" s="18">
        <v>8.01</v>
      </c>
      <c r="P52" s="14">
        <v>15954632472</v>
      </c>
    </row>
    <row r="53" spans="1:16" ht="39" customHeight="1" thickBot="1">
      <c r="A53" s="23" t="s">
        <v>178</v>
      </c>
      <c r="B53" s="20">
        <v>2019</v>
      </c>
      <c r="C53" s="11">
        <v>0.86948747500000001</v>
      </c>
      <c r="D53" s="10">
        <f t="shared" si="0"/>
        <v>0.75743148735263199</v>
      </c>
      <c r="E53" s="10">
        <f t="shared" si="1"/>
        <v>28.230068228249788</v>
      </c>
      <c r="F53" s="10">
        <f t="shared" si="2"/>
        <v>0.49382716049382713</v>
      </c>
      <c r="G53" s="10">
        <f t="shared" si="3"/>
        <v>5.2580631245718575E-4</v>
      </c>
      <c r="I53" s="12">
        <v>4.6208803E-2</v>
      </c>
      <c r="J53" s="13">
        <v>-0.82327867200000004</v>
      </c>
      <c r="K53" s="8">
        <v>784562971811</v>
      </c>
      <c r="L53" s="14">
        <v>1035820381000</v>
      </c>
      <c r="M53" s="14">
        <v>1820383352811</v>
      </c>
      <c r="N53" s="17">
        <v>1.2</v>
      </c>
      <c r="O53" s="18">
        <v>2.4300000000000002</v>
      </c>
      <c r="P53" s="14">
        <v>957169058</v>
      </c>
    </row>
    <row r="54" spans="1:16" ht="15.75" thickBot="1">
      <c r="A54" s="23" t="s">
        <v>178</v>
      </c>
      <c r="B54" s="20">
        <v>2020</v>
      </c>
      <c r="C54" s="19">
        <v>1821052947</v>
      </c>
      <c r="D54" s="10">
        <f t="shared" si="0"/>
        <v>0.83855952927069533</v>
      </c>
      <c r="E54" s="10">
        <f t="shared" si="1"/>
        <v>28.201243622785679</v>
      </c>
      <c r="F54" s="10">
        <f t="shared" si="2"/>
        <v>0.20033388981636058</v>
      </c>
      <c r="G54" s="10">
        <f t="shared" si="3"/>
        <v>3.0620583570654309E-3</v>
      </c>
      <c r="I54" s="12">
        <v>-7.8509530000000008E-3</v>
      </c>
      <c r="J54" s="13">
        <v>-1.8289039</v>
      </c>
      <c r="K54" s="8">
        <v>806678887419</v>
      </c>
      <c r="L54" s="14">
        <v>961981659335</v>
      </c>
      <c r="M54" s="14">
        <v>1768660546754</v>
      </c>
      <c r="N54" s="17">
        <v>1.2</v>
      </c>
      <c r="O54" s="18">
        <v>5.99</v>
      </c>
      <c r="P54" s="14">
        <v>5415741808</v>
      </c>
    </row>
    <row r="55" spans="1:16" ht="15.75" thickBot="1">
      <c r="A55" s="23" t="s">
        <v>178</v>
      </c>
      <c r="B55" s="20">
        <v>2021</v>
      </c>
      <c r="C55" s="19">
        <v>1368831593</v>
      </c>
      <c r="D55" s="10">
        <f t="shared" si="0"/>
        <v>0.98534702414652475</v>
      </c>
      <c r="E55" s="10">
        <f t="shared" si="1"/>
        <v>28.309271954893294</v>
      </c>
      <c r="F55" s="10">
        <f t="shared" si="2"/>
        <v>7.0134424313267094E-2</v>
      </c>
      <c r="G55" s="10">
        <f t="shared" si="3"/>
        <v>1.5076632992913088E-2</v>
      </c>
      <c r="I55" s="12">
        <v>4.1681175000000001E-2</v>
      </c>
      <c r="J55" s="13">
        <v>-1.327150418</v>
      </c>
      <c r="K55" s="8">
        <v>977942627046</v>
      </c>
      <c r="L55" s="14">
        <v>992485493010</v>
      </c>
      <c r="M55" s="14">
        <v>1970428120056</v>
      </c>
      <c r="N55" s="17">
        <v>1.2</v>
      </c>
      <c r="O55" s="18">
        <v>17.11</v>
      </c>
      <c r="P55" s="14">
        <v>29707421605</v>
      </c>
    </row>
    <row r="56" spans="1:16" ht="39" customHeight="1" thickBot="1">
      <c r="A56" s="23" t="s">
        <v>178</v>
      </c>
      <c r="B56" s="20">
        <v>2022</v>
      </c>
      <c r="C56" s="11">
        <v>0.50468625899999997</v>
      </c>
      <c r="D56" s="10">
        <f t="shared" si="0"/>
        <v>0.92971574436930426</v>
      </c>
      <c r="E56" s="10">
        <f t="shared" si="1"/>
        <v>28.339783729086971</v>
      </c>
      <c r="F56" s="10">
        <f t="shared" si="2"/>
        <v>7.0134424313267094E-2</v>
      </c>
      <c r="G56" s="10">
        <f t="shared" si="3"/>
        <v>2.5744902416126664E-2</v>
      </c>
      <c r="I56" s="12">
        <v>-1.9201229E-2</v>
      </c>
      <c r="J56" s="13">
        <v>-0.52388748699999999</v>
      </c>
      <c r="K56" s="8">
        <v>968233866594</v>
      </c>
      <c r="L56" s="14">
        <v>1041429998855</v>
      </c>
      <c r="M56" s="14">
        <v>2031475981134</v>
      </c>
      <c r="N56" s="17">
        <v>1.2</v>
      </c>
      <c r="O56" s="18">
        <v>17.11</v>
      </c>
      <c r="P56" s="14">
        <v>52300150895</v>
      </c>
    </row>
    <row r="57" spans="1:16" ht="26.25" customHeight="1" thickBot="1">
      <c r="A57" s="23" t="s">
        <v>179</v>
      </c>
      <c r="B57" s="20">
        <v>2018</v>
      </c>
      <c r="C57" s="11">
        <v>0.50361238500000005</v>
      </c>
      <c r="D57" s="10">
        <f t="shared" si="0"/>
        <v>0</v>
      </c>
      <c r="E57" s="10">
        <f t="shared" si="1"/>
        <v>28.598457259067484</v>
      </c>
      <c r="F57" s="10">
        <f t="shared" si="2"/>
        <v>0.39186900056465274</v>
      </c>
      <c r="G57" s="10">
        <f t="shared" si="3"/>
        <v>9.6948112616813284E-2</v>
      </c>
      <c r="I57" s="12">
        <v>4.3040350000000003E-3</v>
      </c>
      <c r="J57" s="13">
        <v>-0.49930835000000001</v>
      </c>
      <c r="L57" s="14">
        <v>1646387946952</v>
      </c>
      <c r="M57" s="14">
        <v>2631189810030</v>
      </c>
      <c r="N57" s="17">
        <v>76.34</v>
      </c>
      <c r="O57" s="18">
        <v>194.81</v>
      </c>
      <c r="P57" s="14">
        <v>255088886019</v>
      </c>
    </row>
    <row r="58" spans="1:16" ht="39" customHeight="1" thickBot="1">
      <c r="A58" s="23" t="s">
        <v>179</v>
      </c>
      <c r="B58" s="20">
        <v>2019</v>
      </c>
      <c r="C58" s="11">
        <v>0.56146021899999998</v>
      </c>
      <c r="D58" s="10">
        <f t="shared" si="0"/>
        <v>0</v>
      </c>
      <c r="E58" s="10">
        <f t="shared" si="1"/>
        <v>28.689354000331711</v>
      </c>
      <c r="F58" s="10">
        <f t="shared" si="2"/>
        <v>0.2072147878722076</v>
      </c>
      <c r="G58" s="10">
        <f t="shared" si="3"/>
        <v>0.16747525866336505</v>
      </c>
      <c r="I58" s="12">
        <v>-6.5869400000000003E-3</v>
      </c>
      <c r="J58" s="13">
        <v>-0.56804715800000005</v>
      </c>
      <c r="L58" s="14">
        <v>2148007007980</v>
      </c>
      <c r="M58" s="14">
        <v>2881563083954</v>
      </c>
      <c r="N58" s="17">
        <v>76.34</v>
      </c>
      <c r="O58" s="18">
        <v>368.41</v>
      </c>
      <c r="P58" s="14">
        <v>482590522840</v>
      </c>
    </row>
    <row r="59" spans="1:16" ht="39" customHeight="1" thickBot="1">
      <c r="A59" s="23" t="s">
        <v>179</v>
      </c>
      <c r="B59" s="20">
        <v>2020</v>
      </c>
      <c r="C59" s="11">
        <v>0.54918177800000001</v>
      </c>
      <c r="D59" s="10">
        <f t="shared" si="0"/>
        <v>0</v>
      </c>
      <c r="E59" s="10">
        <f t="shared" si="1"/>
        <v>28.869104017548796</v>
      </c>
      <c r="F59" s="10">
        <f>N59/O59</f>
        <v>0.15910132966529117</v>
      </c>
      <c r="G59" s="10">
        <f t="shared" si="3"/>
        <v>0.18226436067162916</v>
      </c>
      <c r="I59" s="12">
        <v>-0.103283107</v>
      </c>
      <c r="J59" s="13">
        <v>-0.65246488499999999</v>
      </c>
      <c r="L59" s="14">
        <v>2673298199144</v>
      </c>
      <c r="M59" s="14">
        <v>3448995059882</v>
      </c>
      <c r="N59" s="17">
        <v>76.34</v>
      </c>
      <c r="O59" s="18">
        <v>479.82</v>
      </c>
      <c r="P59" s="14">
        <v>628628879549</v>
      </c>
    </row>
    <row r="60" spans="1:16" ht="39" customHeight="1" thickBot="1">
      <c r="A60" s="23" t="s">
        <v>179</v>
      </c>
      <c r="B60" s="20">
        <v>2021</v>
      </c>
      <c r="C60" s="11">
        <v>0.53907139699999995</v>
      </c>
      <c r="D60" s="10">
        <f t="shared" si="0"/>
        <v>0</v>
      </c>
      <c r="E60" s="10">
        <f t="shared" si="1"/>
        <v>28.996919813296635</v>
      </c>
      <c r="F60" s="10">
        <f t="shared" si="2"/>
        <v>0.15910132966529117</v>
      </c>
      <c r="G60" s="10">
        <f t="shared" si="3"/>
        <v>0.15757473040625275</v>
      </c>
      <c r="I60" s="12">
        <v>-1.9655900000000001E-3</v>
      </c>
      <c r="J60" s="13">
        <v>-0.54103698700000002</v>
      </c>
      <c r="L60" s="14">
        <v>3300848622529</v>
      </c>
      <c r="M60" s="14">
        <v>3919243683748</v>
      </c>
      <c r="N60" s="17">
        <v>76.34</v>
      </c>
      <c r="O60" s="18">
        <v>479.82</v>
      </c>
      <c r="P60" s="14">
        <v>617573766863</v>
      </c>
    </row>
    <row r="61" spans="1:16" ht="39" customHeight="1" thickBot="1">
      <c r="A61" s="23" t="s">
        <v>179</v>
      </c>
      <c r="B61" s="20">
        <v>2022</v>
      </c>
      <c r="C61" s="11">
        <v>0.50784463899999999</v>
      </c>
      <c r="D61" s="10">
        <f t="shared" si="0"/>
        <v>0</v>
      </c>
      <c r="E61" s="10">
        <f t="shared" si="1"/>
        <v>29.104252475805076</v>
      </c>
      <c r="F61" s="10">
        <f t="shared" si="2"/>
        <v>0.15910132966529117</v>
      </c>
      <c r="G61" s="10">
        <f t="shared" si="3"/>
        <v>9.6095009457183911E-2</v>
      </c>
      <c r="I61" s="12">
        <v>1.1832229999999999E-2</v>
      </c>
      <c r="J61" s="13">
        <v>-0.49601240800000002</v>
      </c>
      <c r="L61" s="14">
        <v>3704302513177</v>
      </c>
      <c r="M61" s="14">
        <v>4363311816144</v>
      </c>
      <c r="N61" s="17">
        <v>76.34</v>
      </c>
      <c r="O61" s="18">
        <v>479.82</v>
      </c>
      <c r="P61" s="14">
        <v>419292490237</v>
      </c>
    </row>
    <row r="62" spans="1:16" ht="15.75" thickBot="1">
      <c r="A62" s="23" t="s">
        <v>180</v>
      </c>
      <c r="B62" s="20">
        <v>2018</v>
      </c>
      <c r="C62" s="19">
        <v>9625138827</v>
      </c>
      <c r="D62" s="10">
        <f t="shared" si="0"/>
        <v>0</v>
      </c>
      <c r="E62" s="10">
        <f t="shared" si="1"/>
        <v>30.424632064588316</v>
      </c>
      <c r="F62" s="10">
        <f t="shared" si="2"/>
        <v>0.21150592216582065</v>
      </c>
      <c r="G62" s="10">
        <f t="shared" si="3"/>
        <v>4.6779922246846309E-2</v>
      </c>
      <c r="I62" s="12">
        <v>6.0552165999999998E-2</v>
      </c>
      <c r="J62" s="21">
        <v>-9.564586662</v>
      </c>
      <c r="L62" s="14">
        <v>4783616000000</v>
      </c>
      <c r="M62" s="14">
        <v>16339916000000</v>
      </c>
      <c r="N62" s="17">
        <v>30</v>
      </c>
      <c r="O62" s="18">
        <v>141.84</v>
      </c>
      <c r="P62" s="14">
        <v>764380000000</v>
      </c>
    </row>
    <row r="63" spans="1:16" ht="15.75" thickBot="1">
      <c r="A63" s="23" t="s">
        <v>180</v>
      </c>
      <c r="B63" s="20">
        <v>2019</v>
      </c>
      <c r="C63" s="19">
        <v>8131375879</v>
      </c>
      <c r="D63" s="10">
        <f t="shared" si="0"/>
        <v>0</v>
      </c>
      <c r="E63" s="10">
        <f t="shared" si="1"/>
        <v>30.485362794071737</v>
      </c>
      <c r="F63" s="10">
        <f t="shared" si="2"/>
        <v>0.20148291424887169</v>
      </c>
      <c r="G63" s="10">
        <f t="shared" si="3"/>
        <v>3.8071409651890285E-2</v>
      </c>
      <c r="I63" s="12">
        <v>-2.8420526000000002E-2</v>
      </c>
      <c r="J63" s="22">
        <v>-8.1597964049999998</v>
      </c>
      <c r="L63" s="14">
        <v>5362924000000</v>
      </c>
      <c r="M63" s="14">
        <v>17363003000000</v>
      </c>
      <c r="N63" s="17">
        <v>25</v>
      </c>
      <c r="O63" s="18">
        <v>124.08</v>
      </c>
      <c r="P63" s="14">
        <v>661034000000</v>
      </c>
    </row>
    <row r="64" spans="1:16" ht="15.75" thickBot="1">
      <c r="A64" s="23" t="s">
        <v>180</v>
      </c>
      <c r="B64" s="20">
        <v>2020</v>
      </c>
      <c r="C64" s="19">
        <v>7582787575</v>
      </c>
      <c r="D64" s="10">
        <f t="shared" si="0"/>
        <v>0</v>
      </c>
      <c r="E64" s="10">
        <f t="shared" si="1"/>
        <v>30.597905923681228</v>
      </c>
      <c r="F64" s="10">
        <f t="shared" si="2"/>
        <v>0.19496217733759652</v>
      </c>
      <c r="G64" s="10">
        <f t="shared" si="3"/>
        <v>3.5032666122630132E-2</v>
      </c>
      <c r="I64" s="12">
        <v>3.7003679999999997E-2</v>
      </c>
      <c r="J64" s="22">
        <v>-7.5457838959999997</v>
      </c>
      <c r="L64" s="14">
        <v>5888856000000</v>
      </c>
      <c r="M64" s="14">
        <v>19431293000000</v>
      </c>
      <c r="N64" s="17">
        <v>25</v>
      </c>
      <c r="O64" s="18">
        <v>128.22999999999999</v>
      </c>
      <c r="P64" s="14">
        <v>680730000000</v>
      </c>
    </row>
    <row r="65" spans="1:16" ht="15.75" thickBot="1">
      <c r="A65" s="23" t="s">
        <v>180</v>
      </c>
      <c r="B65" s="20">
        <v>2021</v>
      </c>
      <c r="C65" s="19">
        <v>6376341107</v>
      </c>
      <c r="D65" s="10">
        <f t="shared" si="0"/>
        <v>0</v>
      </c>
      <c r="E65" s="10">
        <f t="shared" si="1"/>
        <v>30.679536381219798</v>
      </c>
      <c r="F65" s="10">
        <f t="shared" si="2"/>
        <v>0.16572754391779915</v>
      </c>
      <c r="G65" s="10">
        <f t="shared" si="3"/>
        <v>3.7560015247568808E-2</v>
      </c>
      <c r="I65" s="12">
        <v>-3.8084649999999998E-2</v>
      </c>
      <c r="J65" s="22">
        <v>-6.4144257570000001</v>
      </c>
      <c r="L65" s="14">
        <v>5492354000000</v>
      </c>
      <c r="M65" s="14">
        <v>21084017000000</v>
      </c>
      <c r="N65" s="17">
        <v>25</v>
      </c>
      <c r="O65" s="18">
        <v>150.85</v>
      </c>
      <c r="P65" s="14">
        <v>791916000000</v>
      </c>
    </row>
    <row r="66" spans="1:16" ht="15.75" thickBot="1">
      <c r="A66" s="23" t="s">
        <v>180</v>
      </c>
      <c r="B66" s="20">
        <v>2022</v>
      </c>
      <c r="C66" s="19">
        <v>6536547322</v>
      </c>
      <c r="D66" s="10">
        <f t="shared" si="0"/>
        <v>0</v>
      </c>
      <c r="E66" s="10">
        <f t="shared" si="1"/>
        <v>30.74400579549102</v>
      </c>
      <c r="F66" s="10">
        <f t="shared" si="2"/>
        <v>0.16572754391779915</v>
      </c>
      <c r="G66" s="10">
        <f t="shared" si="3"/>
        <v>1.6999373534333593E-2</v>
      </c>
      <c r="I66" s="12">
        <v>6.1839022E-2</v>
      </c>
      <c r="J66" s="22">
        <v>-6.4747082999999996</v>
      </c>
      <c r="L66" s="14">
        <v>6876385000000</v>
      </c>
      <c r="M66" s="14">
        <v>22488064000000</v>
      </c>
      <c r="N66" s="17">
        <v>25</v>
      </c>
      <c r="O66" s="18">
        <v>150.85</v>
      </c>
      <c r="P66" s="14">
        <v>382283000000</v>
      </c>
    </row>
    <row r="67" spans="1:16" ht="15.75" thickBot="1">
      <c r="A67" s="23" t="s">
        <v>181</v>
      </c>
      <c r="B67" s="20">
        <v>2018</v>
      </c>
      <c r="C67" s="19">
        <v>2054378891</v>
      </c>
      <c r="D67" s="10">
        <f t="shared" ref="D67:D71" si="4">K67/L67</f>
        <v>0</v>
      </c>
      <c r="E67" s="10">
        <f t="shared" ref="E67:E71" si="5">LN(M67)</f>
        <v>29.34587632240855</v>
      </c>
      <c r="F67" s="10">
        <f t="shared" ref="F67:F71" si="6">N67/O67</f>
        <v>0.2</v>
      </c>
      <c r="G67" s="10">
        <f t="shared" ref="G67:G71" si="7">P67/M67</f>
        <v>0.12628208970294666</v>
      </c>
      <c r="I67" s="12">
        <v>2.4301878999999998E-2</v>
      </c>
      <c r="J67" s="22">
        <v>-2.030077012</v>
      </c>
      <c r="L67" s="14">
        <v>4774956000000</v>
      </c>
      <c r="M67" s="14">
        <v>5555871000000</v>
      </c>
      <c r="N67" s="17">
        <v>12</v>
      </c>
      <c r="O67" s="18">
        <v>60</v>
      </c>
      <c r="P67" s="14">
        <v>701607000000</v>
      </c>
    </row>
    <row r="68" spans="1:16" ht="15.75" thickBot="1">
      <c r="A68" s="23" t="s">
        <v>181</v>
      </c>
      <c r="B68" s="20">
        <v>2019</v>
      </c>
      <c r="C68" s="19">
        <v>1985633321</v>
      </c>
      <c r="D68" s="10">
        <f t="shared" si="4"/>
        <v>0</v>
      </c>
      <c r="E68" s="10">
        <f t="shared" si="5"/>
        <v>29.519366012093606</v>
      </c>
      <c r="F68" s="10">
        <f t="shared" si="6"/>
        <v>0.1348314606741573</v>
      </c>
      <c r="G68" s="10">
        <f t="shared" si="7"/>
        <v>0.15674922091839777</v>
      </c>
      <c r="I68" s="12">
        <v>-1.0970737E-2</v>
      </c>
      <c r="J68" s="22">
        <v>-1.996604058</v>
      </c>
      <c r="L68" s="14">
        <v>5655139000000</v>
      </c>
      <c r="M68" s="14">
        <v>6608422000000</v>
      </c>
      <c r="N68" s="17">
        <v>12</v>
      </c>
      <c r="O68" s="18">
        <v>89</v>
      </c>
      <c r="P68" s="14">
        <v>1035865000000</v>
      </c>
    </row>
    <row r="69" spans="1:16" ht="15.75" thickBot="1">
      <c r="A69" s="23" t="s">
        <v>181</v>
      </c>
      <c r="B69" s="20">
        <v>2020</v>
      </c>
      <c r="C69" s="19">
        <v>21441854</v>
      </c>
      <c r="D69" s="10">
        <f t="shared" si="4"/>
        <v>0</v>
      </c>
      <c r="E69" s="10">
        <f t="shared" si="5"/>
        <v>29.800545105694674</v>
      </c>
      <c r="F69" s="10">
        <f t="shared" si="6"/>
        <v>0.85</v>
      </c>
      <c r="G69" s="10">
        <f t="shared" si="7"/>
        <v>0.12675934383323229</v>
      </c>
      <c r="I69" s="12">
        <v>-1.6251535000000001E-2</v>
      </c>
      <c r="J69" s="22">
        <v>-2.1604369349999999</v>
      </c>
      <c r="L69" s="14">
        <v>4781737000000</v>
      </c>
      <c r="M69" s="14">
        <v>8754116000000</v>
      </c>
      <c r="N69" s="17">
        <v>85</v>
      </c>
      <c r="O69" s="18">
        <v>100</v>
      </c>
      <c r="P69" s="14">
        <v>1109666000000</v>
      </c>
    </row>
    <row r="70" spans="1:16" ht="15.75" thickBot="1">
      <c r="A70" s="23" t="s">
        <v>181</v>
      </c>
      <c r="B70" s="20">
        <v>2021</v>
      </c>
      <c r="C70" s="19">
        <v>1869641559</v>
      </c>
      <c r="D70" s="10">
        <f t="shared" si="4"/>
        <v>0</v>
      </c>
      <c r="E70" s="10">
        <f t="shared" si="5"/>
        <v>29.633427173701463</v>
      </c>
      <c r="F70" s="10">
        <f t="shared" si="6"/>
        <v>0.69672131147540983</v>
      </c>
      <c r="G70" s="10">
        <f t="shared" si="7"/>
        <v>0.1723798869587852</v>
      </c>
      <c r="I70" s="12">
        <v>1.911181E-2</v>
      </c>
      <c r="J70" s="22">
        <v>-1.8505297489999999</v>
      </c>
      <c r="L70" s="14">
        <v>5138126000000</v>
      </c>
      <c r="M70" s="14">
        <v>7406856000000</v>
      </c>
      <c r="N70" s="17">
        <v>85</v>
      </c>
      <c r="O70" s="18">
        <v>122</v>
      </c>
      <c r="P70" s="14">
        <v>1276793000000</v>
      </c>
    </row>
    <row r="71" spans="1:16" ht="15.75" thickBot="1">
      <c r="A71" s="23" t="s">
        <v>181</v>
      </c>
      <c r="B71" s="20">
        <v>2022</v>
      </c>
      <c r="C71" s="19">
        <v>2267423274</v>
      </c>
      <c r="D71" s="10">
        <f t="shared" si="4"/>
        <v>0</v>
      </c>
      <c r="E71" s="10">
        <f t="shared" si="5"/>
        <v>29.716826490401907</v>
      </c>
      <c r="F71" s="10">
        <f t="shared" si="6"/>
        <v>0.69672131147540983</v>
      </c>
      <c r="G71" s="10">
        <f t="shared" si="7"/>
        <v>0.10381585162623665</v>
      </c>
      <c r="I71" s="12">
        <v>7.1239538000000005E-2</v>
      </c>
      <c r="J71" s="22">
        <v>-2.1961837360000001</v>
      </c>
      <c r="L71" s="14">
        <v>5711682000000</v>
      </c>
      <c r="M71" s="14">
        <v>8051073000000</v>
      </c>
      <c r="N71" s="17">
        <v>85</v>
      </c>
      <c r="O71" s="18">
        <v>122</v>
      </c>
      <c r="P71" s="14">
        <v>835829000000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1"/>
  <sheetViews>
    <sheetView tabSelected="1" workbookViewId="0">
      <pane xSplit="1" ySplit="1" topLeftCell="F51" activePane="bottomRight" state="frozen"/>
      <selection pane="topRight" activeCell="B1" sqref="B1"/>
      <selection pane="bottomLeft" activeCell="A2" sqref="A2"/>
      <selection pane="bottomRight" activeCell="K61" sqref="K61"/>
    </sheetView>
  </sheetViews>
  <sheetFormatPr defaultRowHeight="15"/>
  <cols>
    <col min="1" max="1" width="6.85546875" style="24" bestFit="1" customWidth="1"/>
    <col min="2" max="2" width="6.42578125" style="24" bestFit="1" customWidth="1"/>
    <col min="3" max="3" width="13.5703125" style="24" bestFit="1" customWidth="1"/>
    <col min="4" max="7" width="12" style="24" bestFit="1" customWidth="1"/>
    <col min="8" max="8" width="9.140625" style="24"/>
    <col min="9" max="9" width="9.5703125" style="25" bestFit="1" customWidth="1"/>
    <col min="10" max="10" width="8.28515625" style="25" bestFit="1" customWidth="1"/>
    <col min="11" max="12" width="19" style="26" bestFit="1" customWidth="1"/>
    <col min="13" max="13" width="20" style="26" bestFit="1" customWidth="1"/>
    <col min="14" max="14" width="19.140625" style="26" bestFit="1" customWidth="1"/>
    <col min="15" max="15" width="16.140625" style="26" bestFit="1" customWidth="1"/>
    <col min="16" max="16" width="19" style="26" bestFit="1" customWidth="1"/>
    <col min="17" max="17" width="9.140625" style="26"/>
    <col min="18" max="16384" width="9.140625" style="24"/>
  </cols>
  <sheetData>
    <row r="1" spans="1:16" s="26" customFormat="1">
      <c r="A1" s="24" t="s">
        <v>163</v>
      </c>
      <c r="B1" s="24" t="s">
        <v>164</v>
      </c>
      <c r="C1" s="24" t="s">
        <v>165</v>
      </c>
      <c r="D1" s="24" t="s">
        <v>166</v>
      </c>
      <c r="E1" s="24" t="s">
        <v>167</v>
      </c>
      <c r="F1" s="24" t="s">
        <v>168</v>
      </c>
      <c r="G1" s="24" t="s">
        <v>169</v>
      </c>
      <c r="H1" s="24"/>
      <c r="I1" s="25" t="s">
        <v>182</v>
      </c>
      <c r="J1" s="25" t="s">
        <v>170</v>
      </c>
      <c r="K1" s="26" t="s">
        <v>171</v>
      </c>
      <c r="L1" s="26" t="s">
        <v>172</v>
      </c>
      <c r="M1" s="26" t="s">
        <v>173</v>
      </c>
      <c r="N1" s="26" t="s">
        <v>174</v>
      </c>
      <c r="O1" s="26" t="s">
        <v>175</v>
      </c>
      <c r="P1" s="26" t="s">
        <v>176</v>
      </c>
    </row>
    <row r="2" spans="1:16" s="26" customFormat="1" ht="39" customHeight="1">
      <c r="A2" s="24" t="s">
        <v>7</v>
      </c>
      <c r="B2" s="24">
        <v>2018</v>
      </c>
      <c r="C2" s="27">
        <v>0.36191469100000001</v>
      </c>
      <c r="D2" s="24">
        <f>K2/L2</f>
        <v>0.82869972650721913</v>
      </c>
      <c r="E2" s="24">
        <f>LN(M2)</f>
        <v>27.50463555946483</v>
      </c>
      <c r="F2" s="24">
        <f>N2/O2</f>
        <v>0.22222222222222221</v>
      </c>
      <c r="G2" s="24">
        <f>P2/M2</f>
        <v>6.0092479645967492E-2</v>
      </c>
      <c r="H2" s="24"/>
      <c r="I2" s="28">
        <v>-0.111432978</v>
      </c>
      <c r="J2" s="29">
        <v>-0.47334766900000003</v>
      </c>
      <c r="K2" s="26">
        <v>399362000000</v>
      </c>
      <c r="L2" s="30">
        <v>481914000000</v>
      </c>
      <c r="M2" s="30">
        <v>881275000000</v>
      </c>
      <c r="N2" s="31">
        <v>20</v>
      </c>
      <c r="O2" s="31">
        <v>90</v>
      </c>
      <c r="P2" s="30">
        <v>52958000000</v>
      </c>
    </row>
    <row r="3" spans="1:16" s="26" customFormat="1" ht="39" customHeight="1">
      <c r="A3" s="24" t="s">
        <v>7</v>
      </c>
      <c r="B3" s="24">
        <v>2019</v>
      </c>
      <c r="C3" s="27">
        <v>0.121950483</v>
      </c>
      <c r="D3" s="24">
        <f t="shared" ref="D3:D66" si="0">K3/L3</f>
        <v>0.44800391592729477</v>
      </c>
      <c r="E3" s="24">
        <f t="shared" ref="E3:E66" si="1">LN(M3)</f>
        <v>27.435462332352571</v>
      </c>
      <c r="F3" s="24">
        <f t="shared" ref="F3:F66" si="2">N3/O3</f>
        <v>0.14084507042253522</v>
      </c>
      <c r="G3" s="24">
        <f t="shared" ref="G3:G66" si="3">P3/M3</f>
        <v>0.10200334397324821</v>
      </c>
      <c r="H3" s="24"/>
      <c r="I3" s="28">
        <v>-0.113804431</v>
      </c>
      <c r="J3" s="29">
        <v>-0.23575491400000001</v>
      </c>
      <c r="K3" s="26">
        <v>254438000000</v>
      </c>
      <c r="L3" s="30">
        <v>567937000000</v>
      </c>
      <c r="M3" s="30">
        <v>822375000000</v>
      </c>
      <c r="N3" s="31">
        <v>20</v>
      </c>
      <c r="O3" s="31">
        <v>142</v>
      </c>
      <c r="P3" s="30">
        <v>83885000000</v>
      </c>
    </row>
    <row r="4" spans="1:16" s="26" customFormat="1" ht="39" customHeight="1">
      <c r="A4" s="24" t="s">
        <v>7</v>
      </c>
      <c r="B4" s="24">
        <v>2020</v>
      </c>
      <c r="C4" s="27">
        <v>0.75114461399999999</v>
      </c>
      <c r="D4" s="24">
        <f>K4/L4</f>
        <v>0.3687081375230547</v>
      </c>
      <c r="E4" s="24">
        <f t="shared" si="1"/>
        <v>27.588938952729169</v>
      </c>
      <c r="F4" s="24">
        <f t="shared" si="2"/>
        <v>8.6956521739130432E-2</v>
      </c>
      <c r="G4" s="24">
        <f t="shared" si="3"/>
        <v>0.14162523427942064</v>
      </c>
      <c r="H4" s="24"/>
      <c r="I4" s="28">
        <v>-0.115385317</v>
      </c>
      <c r="J4" s="29">
        <v>-0.86652993099999998</v>
      </c>
      <c r="K4" s="26">
        <v>258283000000</v>
      </c>
      <c r="L4" s="30">
        <v>700508000000</v>
      </c>
      <c r="M4" s="30">
        <v>958791000000</v>
      </c>
      <c r="N4" s="31">
        <v>20</v>
      </c>
      <c r="O4" s="31">
        <v>230</v>
      </c>
      <c r="P4" s="30">
        <v>135789000000</v>
      </c>
    </row>
    <row r="5" spans="1:16" s="26" customFormat="1" ht="26.25" customHeight="1">
      <c r="A5" s="24" t="s">
        <v>7</v>
      </c>
      <c r="B5" s="24">
        <v>2021</v>
      </c>
      <c r="C5" s="27">
        <v>-0.79464739200000001</v>
      </c>
      <c r="D5" s="24">
        <f>K5/L5</f>
        <v>0.34469492698106963</v>
      </c>
      <c r="E5" s="24">
        <f t="shared" si="1"/>
        <v>27.896540398089339</v>
      </c>
      <c r="F5" s="24">
        <f t="shared" si="2"/>
        <v>4.4345898004434593E-2</v>
      </c>
      <c r="G5" s="24">
        <f t="shared" si="3"/>
        <v>0.2037852693181853</v>
      </c>
      <c r="H5" s="24"/>
      <c r="I5" s="28">
        <v>-4.4324571E-2</v>
      </c>
      <c r="J5" s="29">
        <v>0.75032282100000003</v>
      </c>
      <c r="K5" s="26">
        <v>334291000000</v>
      </c>
      <c r="L5" s="30">
        <v>969817000000</v>
      </c>
      <c r="M5" s="30">
        <v>1304108000000</v>
      </c>
      <c r="N5" s="31">
        <v>20</v>
      </c>
      <c r="O5" s="31">
        <v>451</v>
      </c>
      <c r="P5" s="30">
        <v>265758000000</v>
      </c>
    </row>
    <row r="6" spans="1:16" s="26" customFormat="1" ht="39" customHeight="1">
      <c r="A6" s="24" t="s">
        <v>7</v>
      </c>
      <c r="B6" s="24">
        <v>2022</v>
      </c>
      <c r="C6" s="27">
        <v>0.14351710600000001</v>
      </c>
      <c r="D6" s="24">
        <f t="shared" si="0"/>
        <v>0.25671261530530814</v>
      </c>
      <c r="E6" s="24">
        <f t="shared" si="1"/>
        <v>28.064282956946176</v>
      </c>
      <c r="F6" s="24">
        <f t="shared" si="2"/>
        <v>4.4345898004434593E-2</v>
      </c>
      <c r="G6" s="24">
        <f t="shared" si="3"/>
        <v>0.15604494644292866</v>
      </c>
      <c r="H6" s="24"/>
      <c r="I6" s="28">
        <v>5.3071895000000001E-2</v>
      </c>
      <c r="J6" s="29">
        <v>-9.0445210999999998E-2</v>
      </c>
      <c r="K6" s="26">
        <v>310746000000</v>
      </c>
      <c r="L6" s="30">
        <v>1210482000000</v>
      </c>
      <c r="M6" s="30">
        <v>1542280000000</v>
      </c>
      <c r="N6" s="31">
        <v>20</v>
      </c>
      <c r="O6" s="31">
        <v>451</v>
      </c>
      <c r="P6" s="30">
        <v>240665000000</v>
      </c>
    </row>
    <row r="7" spans="1:16" s="26" customFormat="1" ht="26.25" customHeight="1">
      <c r="A7" s="24" t="s">
        <v>38</v>
      </c>
      <c r="B7" s="24">
        <v>2018</v>
      </c>
      <c r="C7" s="27">
        <v>-0.53883285599999997</v>
      </c>
      <c r="D7" s="24">
        <f t="shared" si="0"/>
        <v>0.1342333201214243</v>
      </c>
      <c r="E7" s="24">
        <f t="shared" si="1"/>
        <v>27.635287814394157</v>
      </c>
      <c r="F7" s="24">
        <f t="shared" si="2"/>
        <v>0.28490028490028491</v>
      </c>
      <c r="G7" s="24">
        <f t="shared" si="3"/>
        <v>6.168354832289661E-2</v>
      </c>
      <c r="H7" s="24"/>
      <c r="I7" s="28">
        <v>-3.4573114000000002E-2</v>
      </c>
      <c r="J7" s="29">
        <v>0.50425974200000001</v>
      </c>
      <c r="K7" s="26">
        <f>61322975128+57530240000</f>
        <v>118853215128</v>
      </c>
      <c r="L7" s="30">
        <v>885422598655</v>
      </c>
      <c r="M7" s="30">
        <v>1004275813783</v>
      </c>
      <c r="N7" s="31">
        <v>3</v>
      </c>
      <c r="O7" s="31">
        <v>10.53</v>
      </c>
      <c r="P7" s="30">
        <v>61947295689</v>
      </c>
    </row>
    <row r="8" spans="1:16" s="26" customFormat="1">
      <c r="A8" s="24" t="s">
        <v>38</v>
      </c>
      <c r="B8" s="24">
        <v>2019</v>
      </c>
      <c r="C8" s="27">
        <v>-0.899888892</v>
      </c>
      <c r="D8" s="24">
        <f t="shared" si="0"/>
        <v>0.1305727320282658</v>
      </c>
      <c r="E8" s="24">
        <f t="shared" si="1"/>
        <v>27.686956393806206</v>
      </c>
      <c r="F8" s="24">
        <f t="shared" si="2"/>
        <v>0.32592024539877301</v>
      </c>
      <c r="G8" s="24">
        <f t="shared" si="3"/>
        <v>7.2583174861833091E-2</v>
      </c>
      <c r="H8" s="24"/>
      <c r="I8" s="28">
        <v>-8.1333801999999997E-2</v>
      </c>
      <c r="J8" s="29">
        <v>0.81855509000000004</v>
      </c>
      <c r="K8" s="26">
        <f>57300411135+64836341000</f>
        <v>122136752135</v>
      </c>
      <c r="L8" s="30">
        <v>935392483850</v>
      </c>
      <c r="M8" s="30">
        <v>1057529235985</v>
      </c>
      <c r="N8" s="31">
        <v>4.25</v>
      </c>
      <c r="O8" s="31">
        <v>13.04</v>
      </c>
      <c r="P8" s="30">
        <v>76758829457</v>
      </c>
    </row>
    <row r="9" spans="1:16" s="26" customFormat="1" ht="26.25" customHeight="1">
      <c r="A9" s="24" t="s">
        <v>38</v>
      </c>
      <c r="B9" s="24">
        <v>2020</v>
      </c>
      <c r="C9" s="27">
        <v>-0.77383030799999997</v>
      </c>
      <c r="D9" s="24">
        <f t="shared" si="0"/>
        <v>0.13014472741220259</v>
      </c>
      <c r="E9" s="24">
        <f t="shared" si="1"/>
        <v>27.714326495271916</v>
      </c>
      <c r="F9" s="24">
        <f t="shared" si="2"/>
        <v>0.56818181818181812</v>
      </c>
      <c r="G9" s="24">
        <f t="shared" si="3"/>
        <v>4.0525251152808146E-2</v>
      </c>
      <c r="H9" s="24"/>
      <c r="I9" s="28">
        <v>-0.14996899299999999</v>
      </c>
      <c r="J9" s="29">
        <v>0.62386131600000005</v>
      </c>
      <c r="K9" s="26">
        <f>56665064940+68496672000</f>
        <v>125161736940</v>
      </c>
      <c r="L9" s="30">
        <v>961711929701</v>
      </c>
      <c r="M9" s="30">
        <v>1086873666641</v>
      </c>
      <c r="N9" s="31">
        <v>4.25</v>
      </c>
      <c r="O9" s="31">
        <v>7.48</v>
      </c>
      <c r="P9" s="30">
        <v>44045828312</v>
      </c>
    </row>
    <row r="10" spans="1:16" s="26" customFormat="1" ht="26.25" customHeight="1">
      <c r="A10" s="24" t="s">
        <v>38</v>
      </c>
      <c r="B10" s="24">
        <v>2021</v>
      </c>
      <c r="C10" s="27">
        <v>-0.82788479599999998</v>
      </c>
      <c r="D10" s="24">
        <f t="shared" si="0"/>
        <v>0.12166974876637904</v>
      </c>
      <c r="E10" s="24">
        <f t="shared" si="1"/>
        <v>27.768398139865219</v>
      </c>
      <c r="F10" s="24">
        <f t="shared" si="2"/>
        <v>0.41176470588235292</v>
      </c>
      <c r="G10" s="24">
        <f t="shared" si="3"/>
        <v>8.7222217924365561E-2</v>
      </c>
      <c r="H10" s="24"/>
      <c r="I10" s="28">
        <v>-0.10435061399999999</v>
      </c>
      <c r="J10" s="29">
        <v>0.72353418199999997</v>
      </c>
      <c r="K10" s="26">
        <f>64332022572+60113618000</f>
        <v>124445640572</v>
      </c>
      <c r="L10" s="30">
        <v>1022814971131</v>
      </c>
      <c r="M10" s="30">
        <v>1147260611703</v>
      </c>
      <c r="N10" s="31">
        <v>7</v>
      </c>
      <c r="O10" s="31">
        <v>17</v>
      </c>
      <c r="P10" s="30">
        <v>100066615090</v>
      </c>
    </row>
    <row r="11" spans="1:16" s="26" customFormat="1" ht="26.25" customHeight="1">
      <c r="A11" s="24" t="s">
        <v>38</v>
      </c>
      <c r="B11" s="24">
        <v>2022</v>
      </c>
      <c r="C11" s="27">
        <v>-0.809795029</v>
      </c>
      <c r="D11" s="24">
        <f t="shared" si="0"/>
        <v>0.14467489842140685</v>
      </c>
      <c r="E11" s="24">
        <f t="shared" si="1"/>
        <v>27.708158960628449</v>
      </c>
      <c r="F11" s="24">
        <f t="shared" si="2"/>
        <v>0.41176470588235292</v>
      </c>
      <c r="G11" s="24">
        <f t="shared" si="3"/>
        <v>9.6925565487552379E-2</v>
      </c>
      <c r="H11" s="24"/>
      <c r="I11" s="28">
        <v>-3.7400608000000002E-2</v>
      </c>
      <c r="J11" s="29">
        <v>0.772394421</v>
      </c>
      <c r="K11" s="26">
        <f>72411790739+60911639000</f>
        <v>133323429739</v>
      </c>
      <c r="L11" s="30">
        <v>921538091222</v>
      </c>
      <c r="M11" s="30">
        <v>1080190964730</v>
      </c>
      <c r="N11" s="31">
        <v>7</v>
      </c>
      <c r="O11" s="31">
        <v>17</v>
      </c>
      <c r="P11" s="30">
        <v>104698120091</v>
      </c>
    </row>
    <row r="12" spans="1:16" s="26" customFormat="1" ht="39" customHeight="1">
      <c r="A12" s="24" t="s">
        <v>42</v>
      </c>
      <c r="B12" s="24">
        <v>2018</v>
      </c>
      <c r="C12" s="27">
        <v>0.214809892</v>
      </c>
      <c r="D12" s="24">
        <f t="shared" si="0"/>
        <v>0.19690671601596363</v>
      </c>
      <c r="E12" s="24">
        <f t="shared" si="1"/>
        <v>25.484547102236689</v>
      </c>
      <c r="F12" s="24">
        <f t="shared" si="2"/>
        <v>0.64102564102564108</v>
      </c>
      <c r="G12" s="24">
        <f t="shared" si="3"/>
        <v>0.79258460875057501</v>
      </c>
      <c r="H12" s="24"/>
      <c r="I12" s="28">
        <v>-0.139742163</v>
      </c>
      <c r="J12" s="29">
        <v>-0.354552056</v>
      </c>
      <c r="K12" s="26">
        <v>192308466864</v>
      </c>
      <c r="L12" s="30">
        <v>976647575842</v>
      </c>
      <c r="M12" s="30">
        <v>116895604270</v>
      </c>
      <c r="N12" s="31">
        <v>100</v>
      </c>
      <c r="O12" s="31">
        <v>156</v>
      </c>
      <c r="P12" s="30">
        <v>92649656775</v>
      </c>
    </row>
    <row r="13" spans="1:16" s="26" customFormat="1" ht="39" customHeight="1">
      <c r="A13" s="24" t="s">
        <v>42</v>
      </c>
      <c r="B13" s="24">
        <v>2019</v>
      </c>
      <c r="C13" s="27">
        <v>0.184409505</v>
      </c>
      <c r="D13" s="24">
        <f t="shared" si="0"/>
        <v>0.2314028749296019</v>
      </c>
      <c r="E13" s="24">
        <f t="shared" si="1"/>
        <v>27.962537910369512</v>
      </c>
      <c r="F13" s="24">
        <f t="shared" si="2"/>
        <v>0.27624309392265195</v>
      </c>
      <c r="G13" s="24">
        <f t="shared" si="3"/>
        <v>0.15466396119867423</v>
      </c>
      <c r="H13" s="24"/>
      <c r="I13" s="28">
        <v>-0.20333424999999999</v>
      </c>
      <c r="J13" s="29">
        <v>-0.387743754</v>
      </c>
      <c r="K13" s="26">
        <v>261784845240</v>
      </c>
      <c r="L13" s="30">
        <v>1131294696834</v>
      </c>
      <c r="M13" s="30">
        <v>1393079542074</v>
      </c>
      <c r="N13" s="31">
        <v>100</v>
      </c>
      <c r="O13" s="31">
        <v>362</v>
      </c>
      <c r="P13" s="30">
        <v>215459200242</v>
      </c>
    </row>
    <row r="14" spans="1:16" s="26" customFormat="1" ht="26.25" customHeight="1">
      <c r="A14" s="24" t="s">
        <v>42</v>
      </c>
      <c r="B14" s="24">
        <v>2020</v>
      </c>
      <c r="C14" s="27">
        <v>-0.24944718299999999</v>
      </c>
      <c r="D14" s="24">
        <f t="shared" si="0"/>
        <v>0.24268675668207262</v>
      </c>
      <c r="E14" s="24">
        <f t="shared" si="1"/>
        <v>28.079975907073237</v>
      </c>
      <c r="F14" s="24">
        <f t="shared" si="2"/>
        <v>0.32679738562091504</v>
      </c>
      <c r="G14" s="24">
        <f t="shared" si="3"/>
        <v>0.11605006143251191</v>
      </c>
      <c r="H14" s="24"/>
      <c r="I14" s="28">
        <v>7.5495639999999999E-3</v>
      </c>
      <c r="J14" s="29">
        <v>0.256996748</v>
      </c>
      <c r="K14" s="26">
        <v>305958833204</v>
      </c>
      <c r="L14" s="30">
        <v>1260714994864</v>
      </c>
      <c r="M14" s="30">
        <v>1566673828068</v>
      </c>
      <c r="N14" s="31">
        <v>100</v>
      </c>
      <c r="O14" s="31">
        <v>306</v>
      </c>
      <c r="P14" s="30">
        <v>181812593992</v>
      </c>
    </row>
    <row r="15" spans="1:16" s="26" customFormat="1" ht="26.25" customHeight="1">
      <c r="A15" s="24" t="s">
        <v>42</v>
      </c>
      <c r="B15" s="24">
        <v>2021</v>
      </c>
      <c r="C15" s="27">
        <v>-0.61445086100000001</v>
      </c>
      <c r="D15" s="24">
        <f t="shared" si="0"/>
        <v>0.22345943191590242</v>
      </c>
      <c r="E15" s="24">
        <f t="shared" si="1"/>
        <v>28.160111241275146</v>
      </c>
      <c r="F15" s="24">
        <f t="shared" si="2"/>
        <v>0.31847133757961782</v>
      </c>
      <c r="G15" s="24">
        <f t="shared" si="3"/>
        <v>0.11020879060641056</v>
      </c>
      <c r="H15" s="24"/>
      <c r="I15" s="28">
        <v>0.17779621500000001</v>
      </c>
      <c r="J15" s="29">
        <v>0.79224707599999999</v>
      </c>
      <c r="K15" s="26">
        <v>310020233374</v>
      </c>
      <c r="L15" s="30">
        <v>1387366962835</v>
      </c>
      <c r="M15" s="30">
        <v>1697387196209</v>
      </c>
      <c r="N15" s="31">
        <v>100</v>
      </c>
      <c r="O15" s="31">
        <v>314</v>
      </c>
      <c r="P15" s="30">
        <v>187066990085</v>
      </c>
    </row>
    <row r="16" spans="1:16" s="26" customFormat="1" ht="26.25" customHeight="1">
      <c r="A16" s="24" t="s">
        <v>42</v>
      </c>
      <c r="B16" s="24">
        <v>2022</v>
      </c>
      <c r="C16" s="27">
        <v>-0.34951450699999997</v>
      </c>
      <c r="D16" s="24">
        <f t="shared" si="0"/>
        <v>0.11455207345349001</v>
      </c>
      <c r="E16" s="24">
        <f t="shared" si="1"/>
        <v>28.177116453496296</v>
      </c>
      <c r="F16" s="24">
        <f t="shared" si="2"/>
        <v>0.31847133757961782</v>
      </c>
      <c r="G16" s="24">
        <f t="shared" si="3"/>
        <v>8.1581359831798303E-2</v>
      </c>
      <c r="H16" s="24"/>
      <c r="I16" s="28">
        <v>0.127423541</v>
      </c>
      <c r="J16" s="29">
        <v>0.47693804699999998</v>
      </c>
      <c r="K16" s="26">
        <v>168244583827</v>
      </c>
      <c r="L16" s="30">
        <v>1468717053780</v>
      </c>
      <c r="M16" s="30">
        <v>1726498445667</v>
      </c>
      <c r="N16" s="31">
        <v>100</v>
      </c>
      <c r="O16" s="31">
        <v>314</v>
      </c>
      <c r="P16" s="30">
        <v>140850090945</v>
      </c>
    </row>
    <row r="17" spans="1:16" s="26" customFormat="1" ht="26.25" customHeight="1">
      <c r="A17" s="24" t="s">
        <v>46</v>
      </c>
      <c r="B17" s="24">
        <v>2018</v>
      </c>
      <c r="C17" s="27">
        <v>-0.56795889700000002</v>
      </c>
      <c r="D17" s="24">
        <f t="shared" si="0"/>
        <v>0.31229286451786104</v>
      </c>
      <c r="E17" s="24">
        <f t="shared" si="1"/>
        <v>27.449419933515454</v>
      </c>
      <c r="F17" s="24">
        <f t="shared" si="2"/>
        <v>0</v>
      </c>
      <c r="G17" s="24">
        <f t="shared" si="3"/>
        <v>7.5859436086550144E-2</v>
      </c>
      <c r="H17" s="24"/>
      <c r="I17" s="28">
        <v>-0.10376109</v>
      </c>
      <c r="J17" s="29">
        <v>0.46419780700000002</v>
      </c>
      <c r="K17" s="26">
        <v>198455391702</v>
      </c>
      <c r="L17" s="30">
        <v>635478469892</v>
      </c>
      <c r="M17" s="30">
        <v>833933861594</v>
      </c>
      <c r="N17" s="31">
        <v>0</v>
      </c>
      <c r="O17" s="31">
        <v>6</v>
      </c>
      <c r="P17" s="30">
        <v>63261752474</v>
      </c>
    </row>
    <row r="18" spans="1:16" s="26" customFormat="1" ht="26.25" customHeight="1">
      <c r="A18" s="24" t="s">
        <v>46</v>
      </c>
      <c r="B18" s="24">
        <v>2019</v>
      </c>
      <c r="C18" s="27">
        <v>-0.90013752800000002</v>
      </c>
      <c r="D18" s="24">
        <f t="shared" si="0"/>
        <v>0.62487957733111676</v>
      </c>
      <c r="E18" s="24">
        <f t="shared" si="1"/>
        <v>27.850272545730174</v>
      </c>
      <c r="F18" s="24">
        <f t="shared" si="2"/>
        <v>0</v>
      </c>
      <c r="G18" s="24">
        <f t="shared" si="3"/>
        <v>0.10501309873679403</v>
      </c>
      <c r="H18" s="24"/>
      <c r="I18" s="28">
        <v>-8.0808106000000005E-2</v>
      </c>
      <c r="J18" s="29">
        <v>0.81932942200000003</v>
      </c>
      <c r="K18" s="26">
        <v>478844867693</v>
      </c>
      <c r="L18" s="30">
        <v>766299436026</v>
      </c>
      <c r="M18" s="30">
        <v>1245144303719</v>
      </c>
      <c r="N18" s="31">
        <v>0</v>
      </c>
      <c r="O18" s="31">
        <v>11</v>
      </c>
      <c r="P18" s="30">
        <v>130756461708</v>
      </c>
    </row>
    <row r="19" spans="1:16" s="26" customFormat="1" ht="26.25" customHeight="1">
      <c r="A19" s="24" t="s">
        <v>46</v>
      </c>
      <c r="B19" s="24">
        <v>2020</v>
      </c>
      <c r="C19" s="32">
        <v>-1041431207</v>
      </c>
      <c r="D19" s="24">
        <f t="shared" si="0"/>
        <v>0.46515319370954944</v>
      </c>
      <c r="E19" s="24">
        <f t="shared" si="1"/>
        <v>27.901765645847046</v>
      </c>
      <c r="F19" s="24">
        <f t="shared" si="2"/>
        <v>0.22727272727272727</v>
      </c>
      <c r="G19" s="24">
        <f t="shared" si="3"/>
        <v>0.10128016703823479</v>
      </c>
      <c r="H19" s="24"/>
      <c r="I19" s="28">
        <v>-7.5617003000000002E-2</v>
      </c>
      <c r="J19" s="29">
        <v>0.96581420500000004</v>
      </c>
      <c r="K19" s="26">
        <v>416194010942</v>
      </c>
      <c r="L19" s="30">
        <v>894746110680</v>
      </c>
      <c r="M19" s="30">
        <v>1310940121622</v>
      </c>
      <c r="N19" s="31">
        <v>2.5</v>
      </c>
      <c r="O19" s="31">
        <v>11</v>
      </c>
      <c r="P19" s="30">
        <v>132772234495</v>
      </c>
    </row>
    <row r="20" spans="1:16" s="26" customFormat="1" ht="26.25" customHeight="1">
      <c r="A20" s="24" t="s">
        <v>46</v>
      </c>
      <c r="B20" s="24">
        <v>2021</v>
      </c>
      <c r="C20" s="27">
        <v>-0.78613459600000002</v>
      </c>
      <c r="D20" s="24">
        <f t="shared" si="0"/>
        <v>0.34605495370079392</v>
      </c>
      <c r="E20" s="24">
        <f t="shared" si="1"/>
        <v>27.929777820321338</v>
      </c>
      <c r="F20" s="24">
        <f t="shared" si="2"/>
        <v>0.16666666666666666</v>
      </c>
      <c r="G20" s="24">
        <f t="shared" si="3"/>
        <v>0.13404104470392239</v>
      </c>
      <c r="H20" s="24"/>
      <c r="I20" s="28">
        <v>-9.4793450000000001E-2</v>
      </c>
      <c r="J20" s="29">
        <v>0.69134114599999996</v>
      </c>
      <c r="K20" s="26">
        <v>346601683606</v>
      </c>
      <c r="L20" s="30">
        <v>1001579893307</v>
      </c>
      <c r="M20" s="30">
        <v>1348181576913</v>
      </c>
      <c r="N20" s="31">
        <v>2.5</v>
      </c>
      <c r="O20" s="31">
        <v>15</v>
      </c>
      <c r="P20" s="30">
        <v>180711667020</v>
      </c>
    </row>
    <row r="21" spans="1:16" s="26" customFormat="1" ht="26.25" customHeight="1">
      <c r="A21" s="24" t="s">
        <v>46</v>
      </c>
      <c r="B21" s="24">
        <v>2022</v>
      </c>
      <c r="C21" s="27">
        <v>-0.75214112799999999</v>
      </c>
      <c r="D21" s="24">
        <f t="shared" si="0"/>
        <v>0.44564119904213229</v>
      </c>
      <c r="E21" s="24">
        <f t="shared" si="1"/>
        <v>28.129632199398525</v>
      </c>
      <c r="F21" s="24">
        <f t="shared" si="2"/>
        <v>0.16666666666666666</v>
      </c>
      <c r="G21" s="24">
        <f t="shared" si="3"/>
        <v>9.1680289618482486E-2</v>
      </c>
      <c r="H21" s="24"/>
      <c r="I21" s="28">
        <v>-3.1500315000000001E-2</v>
      </c>
      <c r="J21" s="29">
        <v>0.72064081300000005</v>
      </c>
      <c r="K21" s="26">
        <v>508372748127</v>
      </c>
      <c r="L21" s="30">
        <v>1140766942598</v>
      </c>
      <c r="M21" s="30">
        <v>1646432924003</v>
      </c>
      <c r="N21" s="31">
        <v>2.5</v>
      </c>
      <c r="O21" s="31">
        <v>15</v>
      </c>
      <c r="P21" s="30">
        <v>150945447310</v>
      </c>
    </row>
    <row r="22" spans="1:16" s="26" customFormat="1" ht="26.25" customHeight="1">
      <c r="A22" s="24" t="s">
        <v>58</v>
      </c>
      <c r="B22" s="24">
        <v>2018</v>
      </c>
      <c r="C22" s="27">
        <v>-0.100793378</v>
      </c>
      <c r="D22" s="24">
        <f t="shared" si="0"/>
        <v>0.18638849139849692</v>
      </c>
      <c r="E22" s="24">
        <f t="shared" si="1"/>
        <v>28.052042705410408</v>
      </c>
      <c r="F22" s="24">
        <f t="shared" si="2"/>
        <v>1.1327014218009479</v>
      </c>
      <c r="G22" s="24">
        <f t="shared" si="3"/>
        <v>0.22194038351402368</v>
      </c>
      <c r="H22" s="24"/>
      <c r="I22" s="28">
        <v>-3.254346E-3</v>
      </c>
      <c r="J22" s="29">
        <v>9.7539031999999998E-2</v>
      </c>
      <c r="K22" s="26">
        <v>239353356000</v>
      </c>
      <c r="L22" s="30">
        <v>1284163814000</v>
      </c>
      <c r="M22" s="30">
        <v>1523517170000</v>
      </c>
      <c r="N22" s="31">
        <v>478</v>
      </c>
      <c r="O22" s="31">
        <v>422</v>
      </c>
      <c r="P22" s="30">
        <v>338129985000</v>
      </c>
    </row>
    <row r="23" spans="1:16" s="26" customFormat="1" ht="26.25" customHeight="1">
      <c r="A23" s="24" t="s">
        <v>58</v>
      </c>
      <c r="B23" s="24">
        <v>2019</v>
      </c>
      <c r="C23" s="27">
        <v>-1.130395E-2</v>
      </c>
      <c r="D23" s="24">
        <f t="shared" si="0"/>
        <v>0.17503856980411797</v>
      </c>
      <c r="E23" s="24">
        <f t="shared" si="1"/>
        <v>27.985883022708233</v>
      </c>
      <c r="F23" s="24">
        <f t="shared" si="2"/>
        <v>0.98236775818639799</v>
      </c>
      <c r="G23" s="24">
        <f t="shared" si="3"/>
        <v>0.2228743372710113</v>
      </c>
      <c r="H23" s="24"/>
      <c r="I23" s="28">
        <v>2.8519956999999999E-2</v>
      </c>
      <c r="J23" s="29">
        <v>3.9823905999999999E-2</v>
      </c>
      <c r="K23" s="26">
        <v>212420390000</v>
      </c>
      <c r="L23" s="30">
        <v>1213563332000</v>
      </c>
      <c r="M23" s="30">
        <v>1425983722000</v>
      </c>
      <c r="N23" s="31">
        <v>390</v>
      </c>
      <c r="O23" s="31">
        <v>397</v>
      </c>
      <c r="P23" s="30">
        <v>317815177000</v>
      </c>
    </row>
    <row r="24" spans="1:16" s="26" customFormat="1" ht="26.25" customHeight="1">
      <c r="A24" s="24" t="s">
        <v>58</v>
      </c>
      <c r="B24" s="24">
        <v>2020</v>
      </c>
      <c r="C24" s="27">
        <v>-0.10732209199999999</v>
      </c>
      <c r="D24" s="24">
        <f t="shared" si="0"/>
        <v>0.20166894708373187</v>
      </c>
      <c r="E24" s="24">
        <f t="shared" si="1"/>
        <v>27.834436062214863</v>
      </c>
      <c r="F24" s="24">
        <f t="shared" si="2"/>
        <v>1.6129032258064515</v>
      </c>
      <c r="G24" s="24">
        <f t="shared" si="3"/>
        <v>0.10074060446794833</v>
      </c>
      <c r="H24" s="24"/>
      <c r="I24" s="28">
        <v>-8.6564899000000001E-2</v>
      </c>
      <c r="J24" s="29">
        <v>2.0757193E-2</v>
      </c>
      <c r="K24" s="26">
        <v>205681950000</v>
      </c>
      <c r="L24" s="30">
        <v>1019898963000</v>
      </c>
      <c r="M24" s="30">
        <v>1225580913000</v>
      </c>
      <c r="N24" s="31">
        <v>250</v>
      </c>
      <c r="O24" s="31">
        <v>155</v>
      </c>
      <c r="P24" s="30">
        <v>123465762000</v>
      </c>
    </row>
    <row r="25" spans="1:16" s="26" customFormat="1" ht="26.25" customHeight="1">
      <c r="A25" s="24" t="s">
        <v>58</v>
      </c>
      <c r="B25" s="24">
        <v>2021</v>
      </c>
      <c r="C25" s="27">
        <v>-0.23238186599999999</v>
      </c>
      <c r="D25" s="24">
        <f t="shared" si="0"/>
        <v>0.29554120673844259</v>
      </c>
      <c r="E25" s="24">
        <f t="shared" si="1"/>
        <v>27.900072254108704</v>
      </c>
      <c r="F25" s="24">
        <f t="shared" si="2"/>
        <v>1.6595744680851063</v>
      </c>
      <c r="G25" s="24">
        <f t="shared" si="3"/>
        <v>0.14364623553588515</v>
      </c>
      <c r="H25" s="24"/>
      <c r="I25" s="28">
        <v>-0.120274097</v>
      </c>
      <c r="J25" s="29">
        <v>0.112107769</v>
      </c>
      <c r="K25" s="26">
        <v>298548048000</v>
      </c>
      <c r="L25" s="30">
        <v>1010174017000</v>
      </c>
      <c r="M25" s="30">
        <v>1308722065000</v>
      </c>
      <c r="N25" s="31">
        <v>390</v>
      </c>
      <c r="O25" s="31">
        <v>235</v>
      </c>
      <c r="P25" s="30">
        <v>187992998000</v>
      </c>
    </row>
    <row r="26" spans="1:16" s="26" customFormat="1" ht="26.25" customHeight="1">
      <c r="A26" s="24" t="s">
        <v>58</v>
      </c>
      <c r="B26" s="24">
        <v>2022</v>
      </c>
      <c r="C26" s="27">
        <v>-3.7165699000000003E-2</v>
      </c>
      <c r="D26" s="24">
        <f t="shared" si="0"/>
        <v>0.32198769990086429</v>
      </c>
      <c r="E26" s="24">
        <f t="shared" si="1"/>
        <v>27.849292196010879</v>
      </c>
      <c r="F26" s="24">
        <f t="shared" si="2"/>
        <v>1.6595744680851063</v>
      </c>
      <c r="G26" s="24">
        <f t="shared" si="3"/>
        <v>0.14602614479993747</v>
      </c>
      <c r="H26" s="24"/>
      <c r="I26" s="28">
        <v>4.4536909E-2</v>
      </c>
      <c r="J26" s="29">
        <v>8.1702607999999996E-2</v>
      </c>
      <c r="K26" s="26">
        <v>306410502000</v>
      </c>
      <c r="L26" s="30">
        <v>951621761000</v>
      </c>
      <c r="M26" s="30">
        <v>1243924225000</v>
      </c>
      <c r="N26" s="31">
        <v>390</v>
      </c>
      <c r="O26" s="31">
        <v>235</v>
      </c>
      <c r="P26" s="30">
        <v>181645459000</v>
      </c>
    </row>
    <row r="27" spans="1:16" s="26" customFormat="1" ht="26.25" customHeight="1">
      <c r="A27" s="24" t="s">
        <v>86</v>
      </c>
      <c r="B27" s="31">
        <v>2018</v>
      </c>
      <c r="C27" s="27">
        <v>-2.4475991999999998E-2</v>
      </c>
      <c r="D27" s="24">
        <f t="shared" si="0"/>
        <v>0.51349478027845852</v>
      </c>
      <c r="E27" s="24">
        <f t="shared" si="1"/>
        <v>31.168122369492632</v>
      </c>
      <c r="F27" s="24">
        <f t="shared" si="2"/>
        <v>0.49744897959183676</v>
      </c>
      <c r="G27" s="24">
        <f t="shared" si="3"/>
        <v>0.13555911948830909</v>
      </c>
      <c r="H27" s="24"/>
      <c r="I27" s="28">
        <v>1.7097E-4</v>
      </c>
      <c r="J27" s="29">
        <v>2.4646962000000001E-2</v>
      </c>
      <c r="K27" s="26">
        <v>11660003000000</v>
      </c>
      <c r="L27" s="30">
        <v>22707150000000</v>
      </c>
      <c r="M27" s="30">
        <v>34367153000000</v>
      </c>
      <c r="N27" s="31">
        <v>195</v>
      </c>
      <c r="O27" s="31">
        <v>392</v>
      </c>
      <c r="P27" s="30">
        <v>4658781000000</v>
      </c>
    </row>
    <row r="28" spans="1:16" s="26" customFormat="1" ht="39" customHeight="1">
      <c r="A28" s="24" t="s">
        <v>86</v>
      </c>
      <c r="B28" s="31">
        <v>2019</v>
      </c>
      <c r="C28" s="27">
        <v>-4.7227746000000001E-2</v>
      </c>
      <c r="D28" s="24">
        <f t="shared" si="0"/>
        <v>0.45135776906722719</v>
      </c>
      <c r="E28" s="24">
        <f t="shared" si="1"/>
        <v>31.28710135884209</v>
      </c>
      <c r="F28" s="24">
        <f t="shared" si="2"/>
        <v>0.49768518518518517</v>
      </c>
      <c r="G28" s="24">
        <f t="shared" si="3"/>
        <v>0.13846871582379372</v>
      </c>
      <c r="H28" s="24"/>
      <c r="I28" s="28">
        <v>-5.9304651E-2</v>
      </c>
      <c r="J28" s="29">
        <v>-1.2076905000000001E-2</v>
      </c>
      <c r="K28" s="26">
        <v>12038210000000</v>
      </c>
      <c r="L28" s="30">
        <v>26671104000000</v>
      </c>
      <c r="M28" s="30">
        <v>38709314000000</v>
      </c>
      <c r="N28" s="31">
        <v>215</v>
      </c>
      <c r="O28" s="31">
        <v>432</v>
      </c>
      <c r="P28" s="30">
        <v>5360029000000</v>
      </c>
    </row>
    <row r="29" spans="1:16" s="26" customFormat="1" ht="26.25" customHeight="1">
      <c r="A29" s="24" t="s">
        <v>86</v>
      </c>
      <c r="B29" s="31">
        <v>2020</v>
      </c>
      <c r="C29" s="27">
        <v>-7.5816028999999993E-2</v>
      </c>
      <c r="D29" s="24">
        <f t="shared" si="0"/>
        <v>1.0586711691726227</v>
      </c>
      <c r="E29" s="24">
        <f t="shared" si="1"/>
        <v>32.2714457463534</v>
      </c>
      <c r="F29" s="24">
        <f t="shared" si="2"/>
        <v>0.38053097345132741</v>
      </c>
      <c r="G29" s="24">
        <f t="shared" si="3"/>
        <v>7.1615927760198844E-2</v>
      </c>
      <c r="H29" s="24"/>
      <c r="I29" s="28">
        <v>-4.955412E-2</v>
      </c>
      <c r="J29" s="29">
        <v>2.6261908E-2</v>
      </c>
      <c r="K29" s="26">
        <v>53270272000000</v>
      </c>
      <c r="L29" s="30">
        <v>50318053000000</v>
      </c>
      <c r="M29" s="30">
        <v>103588325000000</v>
      </c>
      <c r="N29" s="31">
        <v>215</v>
      </c>
      <c r="O29" s="31">
        <v>565</v>
      </c>
      <c r="P29" s="30">
        <v>7418574000000</v>
      </c>
    </row>
    <row r="30" spans="1:16" s="26" customFormat="1" ht="26.25" customHeight="1">
      <c r="A30" s="24" t="s">
        <v>86</v>
      </c>
      <c r="B30" s="31">
        <v>2021</v>
      </c>
      <c r="C30" s="27">
        <v>4.2582805000000001E-2</v>
      </c>
      <c r="D30" s="24">
        <f t="shared" si="0"/>
        <v>1.1574980552816603</v>
      </c>
      <c r="E30" s="24">
        <f t="shared" si="1"/>
        <v>32.402270225110527</v>
      </c>
      <c r="F30" s="24">
        <f t="shared" si="2"/>
        <v>0.39233576642335766</v>
      </c>
      <c r="G30" s="24">
        <f t="shared" si="3"/>
        <v>6.6913759915291221E-2</v>
      </c>
      <c r="H30" s="24"/>
      <c r="I30" s="28">
        <v>-8.5682399999999995E-4</v>
      </c>
      <c r="J30" s="29">
        <v>-4.343963E-2</v>
      </c>
      <c r="K30" s="26">
        <v>63342765000000</v>
      </c>
      <c r="L30" s="30">
        <v>54723863000000</v>
      </c>
      <c r="M30" s="30">
        <v>118066628000000</v>
      </c>
      <c r="N30" s="31">
        <v>215</v>
      </c>
      <c r="O30" s="31">
        <v>548</v>
      </c>
      <c r="P30" s="30">
        <v>7900282000000</v>
      </c>
    </row>
    <row r="31" spans="1:16" s="26" customFormat="1" ht="26.25" customHeight="1">
      <c r="A31" s="24" t="s">
        <v>86</v>
      </c>
      <c r="B31" s="31">
        <v>2022</v>
      </c>
      <c r="C31" s="27">
        <v>-4.6610101000000001E-2</v>
      </c>
      <c r="D31" s="24">
        <f t="shared" si="0"/>
        <v>0.63601358574706501</v>
      </c>
      <c r="E31" s="24">
        <f t="shared" si="1"/>
        <v>32.844564573215372</v>
      </c>
      <c r="F31" s="24">
        <f t="shared" si="2"/>
        <v>0.39233576642335766</v>
      </c>
      <c r="G31" s="24">
        <f t="shared" si="3"/>
        <v>3.6375060855730279E-2</v>
      </c>
      <c r="H31" s="24"/>
      <c r="I31" s="28">
        <v>-2.9729610000000001E-3</v>
      </c>
      <c r="J31" s="29">
        <v>4.3637138999999998E-2</v>
      </c>
      <c r="K31" s="26">
        <v>57832529000000</v>
      </c>
      <c r="L31" s="30">
        <v>90929707000000</v>
      </c>
      <c r="M31" s="30">
        <v>183743995000000</v>
      </c>
      <c r="N31" s="31">
        <v>215</v>
      </c>
      <c r="O31" s="31">
        <v>548</v>
      </c>
      <c r="P31" s="30">
        <v>6683699000000</v>
      </c>
    </row>
    <row r="32" spans="1:16" s="26" customFormat="1">
      <c r="A32" s="24" t="s">
        <v>98</v>
      </c>
      <c r="B32" s="31">
        <v>2018</v>
      </c>
      <c r="C32" s="32">
        <v>2479315505</v>
      </c>
      <c r="D32" s="24">
        <f t="shared" si="0"/>
        <v>0.933974052823899</v>
      </c>
      <c r="E32" s="24">
        <f t="shared" si="1"/>
        <v>32.200955715985231</v>
      </c>
      <c r="F32" s="24">
        <f t="shared" si="2"/>
        <v>0.49789029535864981</v>
      </c>
      <c r="G32" s="24">
        <f t="shared" si="3"/>
        <v>5.1398014100094022E-2</v>
      </c>
      <c r="H32" s="24"/>
      <c r="I32" s="28">
        <v>-1.1017740999999999E-2</v>
      </c>
      <c r="J32" s="33">
        <v>-2.4903332470000001</v>
      </c>
      <c r="K32" s="26">
        <v>46620996000000</v>
      </c>
      <c r="L32" s="30">
        <v>49916800000000</v>
      </c>
      <c r="M32" s="30">
        <v>96537796000000</v>
      </c>
      <c r="N32" s="31">
        <v>236</v>
      </c>
      <c r="O32" s="31">
        <v>474</v>
      </c>
      <c r="P32" s="30">
        <v>4961851000000</v>
      </c>
    </row>
    <row r="33" spans="1:16" s="26" customFormat="1">
      <c r="A33" s="24" t="s">
        <v>98</v>
      </c>
      <c r="B33" s="31">
        <v>2019</v>
      </c>
      <c r="C33" s="32">
        <v>222688872</v>
      </c>
      <c r="D33" s="24">
        <f t="shared" si="0"/>
        <v>0.77479969185178366</v>
      </c>
      <c r="E33" s="24">
        <f t="shared" si="1"/>
        <v>32.197435494278039</v>
      </c>
      <c r="F33" s="24">
        <f t="shared" si="2"/>
        <v>0.42218246869409659</v>
      </c>
      <c r="G33" s="24">
        <f t="shared" si="3"/>
        <v>6.1359848435983327E-2</v>
      </c>
      <c r="H33" s="24"/>
      <c r="I33" s="28">
        <v>-7.7086542999999993E-2</v>
      </c>
      <c r="J33" s="33">
        <v>-2.3039752629999999</v>
      </c>
      <c r="K33" s="26">
        <v>41996071000000</v>
      </c>
      <c r="L33" s="30">
        <v>54202488000000</v>
      </c>
      <c r="M33" s="30">
        <v>96198559000000</v>
      </c>
      <c r="N33" s="31">
        <v>236</v>
      </c>
      <c r="O33" s="31">
        <v>559</v>
      </c>
      <c r="P33" s="30">
        <v>5902729000000</v>
      </c>
    </row>
    <row r="34" spans="1:16" s="26" customFormat="1">
      <c r="A34" s="24" t="s">
        <v>98</v>
      </c>
      <c r="B34" s="31">
        <v>2020</v>
      </c>
      <c r="C34" s="32">
        <v>2377382107</v>
      </c>
      <c r="D34" s="24">
        <f t="shared" si="0"/>
        <v>1.0614170853148708</v>
      </c>
      <c r="E34" s="24">
        <f t="shared" si="1"/>
        <v>32.725608487682294</v>
      </c>
      <c r="F34" s="24">
        <f t="shared" si="2"/>
        <v>0.37823129251700682</v>
      </c>
      <c r="G34" s="24">
        <f t="shared" si="3"/>
        <v>5.3648724482996804E-2</v>
      </c>
      <c r="H34" s="24"/>
      <c r="I34" s="28">
        <v>-5.3051013000000001E-2</v>
      </c>
      <c r="J34" s="33">
        <v>-2.43043312</v>
      </c>
      <c r="K34" s="26">
        <v>83998472000000</v>
      </c>
      <c r="L34" s="30">
        <v>79138044000000</v>
      </c>
      <c r="M34" s="30">
        <v>163136516000000</v>
      </c>
      <c r="N34" s="31">
        <v>278</v>
      </c>
      <c r="O34" s="31">
        <v>735</v>
      </c>
      <c r="P34" s="30">
        <v>8752066000000</v>
      </c>
    </row>
    <row r="35" spans="1:16" s="26" customFormat="1">
      <c r="A35" s="24" t="s">
        <v>98</v>
      </c>
      <c r="B35" s="31">
        <v>2021</v>
      </c>
      <c r="C35" s="32">
        <v>1122213492</v>
      </c>
      <c r="D35" s="24">
        <f t="shared" si="0"/>
        <v>1.0703200110176236</v>
      </c>
      <c r="E35" s="24">
        <f t="shared" si="1"/>
        <v>32.820394849558802</v>
      </c>
      <c r="F35" s="24">
        <f t="shared" si="2"/>
        <v>0.31954022988505748</v>
      </c>
      <c r="G35" s="24">
        <f t="shared" si="3"/>
        <v>6.2465559803669558E-2</v>
      </c>
      <c r="H35" s="24"/>
      <c r="I35" s="28">
        <v>-2.1387338999999998E-2</v>
      </c>
      <c r="J35" s="33">
        <v>-1.1436008310000001</v>
      </c>
      <c r="K35" s="26">
        <v>92724082000000</v>
      </c>
      <c r="L35" s="30">
        <v>86632111000000</v>
      </c>
      <c r="M35" s="30">
        <v>179356193000000</v>
      </c>
      <c r="N35" s="31">
        <v>278</v>
      </c>
      <c r="O35" s="31">
        <v>870</v>
      </c>
      <c r="P35" s="30">
        <v>11203585000000</v>
      </c>
    </row>
    <row r="36" spans="1:16" s="26" customFormat="1">
      <c r="A36" s="24" t="s">
        <v>98</v>
      </c>
      <c r="B36" s="31">
        <v>2022</v>
      </c>
      <c r="C36" s="32">
        <v>1274766762</v>
      </c>
      <c r="D36" s="24">
        <f t="shared" si="0"/>
        <v>0.95469637881930047</v>
      </c>
      <c r="E36" s="24">
        <f t="shared" si="1"/>
        <v>32.844564573215372</v>
      </c>
      <c r="F36" s="24">
        <f t="shared" si="2"/>
        <v>0.31954022988505748</v>
      </c>
      <c r="G36" s="24">
        <f t="shared" si="3"/>
        <v>3.6375060855730279E-2</v>
      </c>
      <c r="H36" s="24"/>
      <c r="I36" s="28">
        <v>-2.9729610000000001E-3</v>
      </c>
      <c r="J36" s="33">
        <v>-1.2777397239999999</v>
      </c>
      <c r="K36" s="26">
        <v>86810262000000</v>
      </c>
      <c r="L36" s="30">
        <v>90929707000000</v>
      </c>
      <c r="M36" s="30">
        <v>183743995000000</v>
      </c>
      <c r="N36" s="31">
        <v>278</v>
      </c>
      <c r="O36" s="31">
        <v>870</v>
      </c>
      <c r="P36" s="30">
        <v>6683699000000</v>
      </c>
    </row>
    <row r="37" spans="1:16" s="26" customFormat="1">
      <c r="A37" s="24" t="s">
        <v>110</v>
      </c>
      <c r="B37" s="31">
        <v>2018</v>
      </c>
      <c r="C37" s="32">
        <v>1114310443</v>
      </c>
      <c r="D37" s="24">
        <f t="shared" si="0"/>
        <v>1.4748710104013922</v>
      </c>
      <c r="E37" s="24">
        <f t="shared" si="1"/>
        <v>28.692104938784819</v>
      </c>
      <c r="F37" s="24">
        <f t="shared" si="2"/>
        <v>0.92254733218588636</v>
      </c>
      <c r="G37" s="24">
        <f t="shared" si="3"/>
        <v>0.4238818398055581</v>
      </c>
      <c r="H37" s="24"/>
      <c r="I37" s="28">
        <v>-7.4781739999999999E-2</v>
      </c>
      <c r="J37" s="29">
        <v>-1.1890921830000001</v>
      </c>
      <c r="K37" s="26">
        <v>1721965000000</v>
      </c>
      <c r="L37" s="30">
        <v>1167536000000</v>
      </c>
      <c r="M37" s="30">
        <v>2889501000000</v>
      </c>
      <c r="N37" s="31">
        <v>536</v>
      </c>
      <c r="O37" s="31">
        <v>581</v>
      </c>
      <c r="P37" s="30">
        <v>1224807000000</v>
      </c>
    </row>
    <row r="38" spans="1:16" s="26" customFormat="1">
      <c r="A38" s="24" t="s">
        <v>110</v>
      </c>
      <c r="B38" s="31">
        <v>2019</v>
      </c>
      <c r="C38" s="27">
        <v>0.96646845000000003</v>
      </c>
      <c r="D38" s="24">
        <f t="shared" si="0"/>
        <v>1.5278641404459135</v>
      </c>
      <c r="E38" s="24">
        <f t="shared" si="1"/>
        <v>28.694679575333129</v>
      </c>
      <c r="F38" s="24">
        <f t="shared" si="2"/>
        <v>0.93706293706293708</v>
      </c>
      <c r="G38" s="24">
        <f t="shared" si="3"/>
        <v>0.41632026786793008</v>
      </c>
      <c r="H38" s="24"/>
      <c r="I38" s="28">
        <v>-4.4459234E-2</v>
      </c>
      <c r="J38" s="29">
        <v>-1.010927683</v>
      </c>
      <c r="K38" s="26">
        <v>1750943000000</v>
      </c>
      <c r="L38" s="30">
        <v>1146007000000</v>
      </c>
      <c r="M38" s="30">
        <v>2896950000000</v>
      </c>
      <c r="N38" s="31">
        <v>536</v>
      </c>
      <c r="O38" s="31">
        <v>572</v>
      </c>
      <c r="P38" s="30">
        <v>1206059000000</v>
      </c>
    </row>
    <row r="39" spans="1:16" s="26" customFormat="1" ht="39" customHeight="1">
      <c r="A39" s="24" t="s">
        <v>110</v>
      </c>
      <c r="B39" s="31">
        <v>2020</v>
      </c>
      <c r="C39" s="32">
        <v>123090735</v>
      </c>
      <c r="D39" s="24">
        <f t="shared" si="0"/>
        <v>1.0283332147346949</v>
      </c>
      <c r="E39" s="24">
        <f t="shared" si="1"/>
        <v>28.698288925649688</v>
      </c>
      <c r="F39" s="24">
        <f t="shared" si="2"/>
        <v>0.92254733218588636</v>
      </c>
      <c r="G39" s="24">
        <f t="shared" si="3"/>
        <v>9.8237099839204797E-2</v>
      </c>
      <c r="H39" s="24"/>
      <c r="I39" s="28">
        <v>0.38397625099999999</v>
      </c>
      <c r="J39" s="29">
        <v>-0.84693109899999997</v>
      </c>
      <c r="K39" s="26">
        <v>1474019000000</v>
      </c>
      <c r="L39" s="30">
        <v>1433406000000</v>
      </c>
      <c r="M39" s="30">
        <v>2907425000000</v>
      </c>
      <c r="N39" s="31">
        <v>536</v>
      </c>
      <c r="O39" s="31">
        <v>581</v>
      </c>
      <c r="P39" s="30">
        <v>285617000000</v>
      </c>
    </row>
    <row r="40" spans="1:16" s="26" customFormat="1" ht="39" customHeight="1">
      <c r="A40" s="24" t="s">
        <v>110</v>
      </c>
      <c r="B40" s="31">
        <v>2021</v>
      </c>
      <c r="C40" s="32">
        <v>142732086</v>
      </c>
      <c r="D40" s="24">
        <f t="shared" si="0"/>
        <v>1.6584164045718675</v>
      </c>
      <c r="E40" s="24">
        <f t="shared" si="1"/>
        <v>28.703295247173056</v>
      </c>
      <c r="F40" s="24">
        <f t="shared" si="2"/>
        <v>0.93706293706293708</v>
      </c>
      <c r="G40" s="24">
        <f t="shared" si="3"/>
        <v>0.22787341757423041</v>
      </c>
      <c r="H40" s="24"/>
      <c r="I40" s="28">
        <v>0.44908329499999999</v>
      </c>
      <c r="J40" s="29">
        <v>-0.97823756500000003</v>
      </c>
      <c r="K40" s="26">
        <v>1822860000000</v>
      </c>
      <c r="L40" s="30">
        <v>1099157000000</v>
      </c>
      <c r="M40" s="30">
        <v>2922017000000</v>
      </c>
      <c r="N40" s="31">
        <v>536</v>
      </c>
      <c r="O40" s="31">
        <v>572</v>
      </c>
      <c r="P40" s="30">
        <v>665850000000</v>
      </c>
    </row>
    <row r="41" spans="1:16" s="26" customFormat="1" ht="39" customHeight="1">
      <c r="A41" s="24" t="s">
        <v>110</v>
      </c>
      <c r="B41" s="31">
        <v>2022</v>
      </c>
      <c r="C41" s="27">
        <v>0.84993534500000001</v>
      </c>
      <c r="D41" s="24">
        <f t="shared" si="0"/>
        <v>2.7226979144605838</v>
      </c>
      <c r="E41" s="24">
        <f t="shared" si="1"/>
        <v>28.667478174496779</v>
      </c>
      <c r="F41" s="24">
        <f t="shared" si="2"/>
        <v>0.93706293706293708</v>
      </c>
      <c r="G41" s="24">
        <f t="shared" si="3"/>
        <v>0.21519318702998819</v>
      </c>
      <c r="H41" s="24"/>
      <c r="I41" s="28">
        <v>-0.119529421</v>
      </c>
      <c r="J41" s="29">
        <v>-0.96946476599999998</v>
      </c>
      <c r="K41" s="26">
        <v>2301227000000</v>
      </c>
      <c r="L41" s="30">
        <v>845201000000</v>
      </c>
      <c r="M41" s="30">
        <v>2819211000000</v>
      </c>
      <c r="N41" s="31">
        <v>536</v>
      </c>
      <c r="O41" s="31">
        <v>572</v>
      </c>
      <c r="P41" s="30">
        <v>606675000000</v>
      </c>
    </row>
    <row r="42" spans="1:16" s="26" customFormat="1" ht="26.25" customHeight="1">
      <c r="A42" s="24" t="s">
        <v>114</v>
      </c>
      <c r="B42" s="31">
        <v>2018</v>
      </c>
      <c r="C42" s="27">
        <v>-0.17022642199999999</v>
      </c>
      <c r="D42" s="24">
        <f t="shared" si="0"/>
        <v>0.42235342064528919</v>
      </c>
      <c r="E42" s="24">
        <f t="shared" si="1"/>
        <v>30.498448681151473</v>
      </c>
      <c r="F42" s="24">
        <f t="shared" si="2"/>
        <v>0.37662337662337664</v>
      </c>
      <c r="G42" s="24">
        <f t="shared" si="3"/>
        <v>0.10007183144204174</v>
      </c>
      <c r="H42" s="24"/>
      <c r="I42" s="28">
        <v>8.7233450000000004E-2</v>
      </c>
      <c r="J42" s="29">
        <v>0.25745987199999998</v>
      </c>
      <c r="K42" s="26">
        <f>58424189572+3549548693286</f>
        <v>3607972882858</v>
      </c>
      <c r="L42" s="30">
        <v>8542544481694</v>
      </c>
      <c r="M42" s="30">
        <v>17591706426634</v>
      </c>
      <c r="N42" s="31">
        <v>29</v>
      </c>
      <c r="O42" s="31">
        <v>77</v>
      </c>
      <c r="P42" s="30">
        <v>1760434280304</v>
      </c>
    </row>
    <row r="43" spans="1:16" s="26" customFormat="1" ht="26.25" customHeight="1">
      <c r="A43" s="24" t="s">
        <v>114</v>
      </c>
      <c r="B43" s="31">
        <v>2019</v>
      </c>
      <c r="C43" s="27">
        <v>-0.188913265</v>
      </c>
      <c r="D43" s="24">
        <f t="shared" si="0"/>
        <v>0.37395760547835122</v>
      </c>
      <c r="E43" s="24">
        <f t="shared" si="1"/>
        <v>30.577453832934669</v>
      </c>
      <c r="F43" s="24">
        <f t="shared" si="2"/>
        <v>0.33707865168539325</v>
      </c>
      <c r="G43" s="24">
        <f t="shared" si="3"/>
        <v>0.10712327473896942</v>
      </c>
      <c r="H43" s="24"/>
      <c r="I43" s="28">
        <v>-7.1878191999999994E-2</v>
      </c>
      <c r="J43" s="29">
        <v>0.117035073</v>
      </c>
      <c r="K43" s="26">
        <f>51204250843+3650953678977</f>
        <v>3702157929820</v>
      </c>
      <c r="L43" s="30">
        <v>9899940195318</v>
      </c>
      <c r="M43" s="30">
        <v>19037918806473</v>
      </c>
      <c r="N43" s="31">
        <v>30</v>
      </c>
      <c r="O43" s="31">
        <v>89</v>
      </c>
      <c r="P43" s="30">
        <v>2039404206764</v>
      </c>
    </row>
    <row r="44" spans="1:16" s="26" customFormat="1" ht="26.25" customHeight="1">
      <c r="A44" s="24" t="s">
        <v>114</v>
      </c>
      <c r="B44" s="31">
        <v>2020</v>
      </c>
      <c r="C44" s="27">
        <v>-0.190733494</v>
      </c>
      <c r="D44" s="24">
        <f t="shared" si="0"/>
        <v>0.26737250399171825</v>
      </c>
      <c r="E44" s="24">
        <f t="shared" si="1"/>
        <v>30.6155660698589</v>
      </c>
      <c r="F44" s="24">
        <f t="shared" si="2"/>
        <v>0.56521739130434778</v>
      </c>
      <c r="G44" s="24">
        <f t="shared" si="3"/>
        <v>0.10608967058812084</v>
      </c>
      <c r="H44" s="24"/>
      <c r="I44" s="28">
        <v>-8.4970629000000006E-2</v>
      </c>
      <c r="J44" s="29">
        <v>0.105762865</v>
      </c>
      <c r="K44" s="26">
        <f>70928429104+2942757554526</f>
        <v>3013685983630</v>
      </c>
      <c r="L44" s="30">
        <v>11271488049958</v>
      </c>
      <c r="M44" s="30">
        <v>19777500514550</v>
      </c>
      <c r="N44" s="31">
        <v>52</v>
      </c>
      <c r="O44" s="31">
        <v>92</v>
      </c>
      <c r="P44" s="30">
        <v>2098188514645</v>
      </c>
    </row>
    <row r="45" spans="1:16" s="26" customFormat="1" ht="26.25" customHeight="1">
      <c r="A45" s="24" t="s">
        <v>114</v>
      </c>
      <c r="B45" s="31">
        <v>2021</v>
      </c>
      <c r="C45" s="27">
        <v>-0.207419767</v>
      </c>
      <c r="D45" s="24">
        <f t="shared" si="0"/>
        <v>0.2306181347055378</v>
      </c>
      <c r="E45" s="24">
        <f t="shared" si="1"/>
        <v>30.622627553189677</v>
      </c>
      <c r="F45" s="24">
        <f t="shared" si="2"/>
        <v>0.56603773584905659</v>
      </c>
      <c r="G45" s="24">
        <f t="shared" si="3"/>
        <v>6.0802978734899468E-2</v>
      </c>
      <c r="H45" s="24"/>
      <c r="I45" s="28">
        <v>8.5500009999999998E-3</v>
      </c>
      <c r="J45" s="29">
        <v>0.21596976700000001</v>
      </c>
      <c r="K45" s="26">
        <f>65554436250+2554274814523</f>
        <v>2619829250773</v>
      </c>
      <c r="L45" s="30">
        <v>11360031396135</v>
      </c>
      <c r="M45" s="30">
        <v>19917653265528</v>
      </c>
      <c r="N45" s="31">
        <v>30</v>
      </c>
      <c r="O45" s="31">
        <v>53</v>
      </c>
      <c r="P45" s="30">
        <v>1211052647953</v>
      </c>
    </row>
    <row r="46" spans="1:16" s="26" customFormat="1" ht="26.25" customHeight="1">
      <c r="A46" s="24" t="s">
        <v>114</v>
      </c>
      <c r="B46" s="31">
        <v>2022</v>
      </c>
      <c r="C46" s="27">
        <v>-0.15024902800000001</v>
      </c>
      <c r="D46" s="24">
        <f t="shared" si="0"/>
        <v>0.33088114648692885</v>
      </c>
      <c r="E46" s="24">
        <f t="shared" si="1"/>
        <v>30.74442468797767</v>
      </c>
      <c r="F46" s="24">
        <f t="shared" si="2"/>
        <v>0.56603773584905659</v>
      </c>
      <c r="G46" s="24">
        <f t="shared" si="3"/>
        <v>4.9149993123317276E-2</v>
      </c>
      <c r="H46" s="24"/>
      <c r="I46" s="28">
        <v>3.7676567000000001E-2</v>
      </c>
      <c r="J46" s="29">
        <v>0.187925595</v>
      </c>
      <c r="K46" s="26">
        <f>81071465999+3869361169625</f>
        <v>3950432635624</v>
      </c>
      <c r="L46" s="30">
        <v>11939128830902</v>
      </c>
      <c r="M46" s="30">
        <v>22497486054325</v>
      </c>
      <c r="N46" s="31">
        <v>30</v>
      </c>
      <c r="O46" s="31">
        <v>53</v>
      </c>
      <c r="P46" s="30">
        <v>1105751284862</v>
      </c>
    </row>
    <row r="47" spans="1:16" s="26" customFormat="1" ht="39" customHeight="1">
      <c r="A47" s="24" t="s">
        <v>177</v>
      </c>
      <c r="B47" s="31">
        <v>2018</v>
      </c>
      <c r="C47" s="27">
        <v>0.26094482499999999</v>
      </c>
      <c r="D47" s="24">
        <f t="shared" si="0"/>
        <v>0.50632818870315277</v>
      </c>
      <c r="E47" s="24">
        <f t="shared" si="1"/>
        <v>29.111217934859436</v>
      </c>
      <c r="F47" s="24">
        <f t="shared" si="2"/>
        <v>0.34841467759173494</v>
      </c>
      <c r="G47" s="24">
        <f t="shared" si="3"/>
        <v>2.8943314649241429E-2</v>
      </c>
      <c r="H47" s="24"/>
      <c r="I47" s="28">
        <v>-3.7010263000000002E-2</v>
      </c>
      <c r="J47" s="29">
        <v>-0.29795508700000001</v>
      </c>
      <c r="K47" s="26">
        <v>1476909260772</v>
      </c>
      <c r="L47" s="30">
        <v>2916901120111</v>
      </c>
      <c r="M47" s="30">
        <v>4393810380883</v>
      </c>
      <c r="N47" s="31">
        <v>9.7799999999999994</v>
      </c>
      <c r="O47" s="31">
        <v>28.07</v>
      </c>
      <c r="P47" s="30">
        <v>127171436363</v>
      </c>
    </row>
    <row r="48" spans="1:16" s="26" customFormat="1" ht="39" customHeight="1">
      <c r="A48" s="24" t="s">
        <v>177</v>
      </c>
      <c r="B48" s="31">
        <v>2019</v>
      </c>
      <c r="C48" s="27">
        <v>0.224675816</v>
      </c>
      <c r="D48" s="24">
        <f t="shared" si="0"/>
        <v>0.51396488808967122</v>
      </c>
      <c r="E48" s="24">
        <f t="shared" si="1"/>
        <v>29.174764392771777</v>
      </c>
      <c r="F48" s="24">
        <f t="shared" si="2"/>
        <v>0.5220125786163522</v>
      </c>
      <c r="G48" s="24">
        <f t="shared" si="3"/>
        <v>5.0515660388067068E-2</v>
      </c>
      <c r="H48" s="24"/>
      <c r="I48" s="28">
        <v>-5.5366515999999998E-2</v>
      </c>
      <c r="J48" s="29">
        <v>-0.280042332</v>
      </c>
      <c r="K48" s="26">
        <v>1589486465854</v>
      </c>
      <c r="L48" s="30">
        <v>3092597379097</v>
      </c>
      <c r="M48" s="30">
        <v>4682083844951</v>
      </c>
      <c r="N48" s="31">
        <v>25.73</v>
      </c>
      <c r="O48" s="31">
        <v>49.29</v>
      </c>
      <c r="P48" s="30">
        <v>236518557420</v>
      </c>
    </row>
    <row r="49" spans="1:17" s="26" customFormat="1" ht="39" customHeight="1">
      <c r="A49" s="24" t="s">
        <v>177</v>
      </c>
      <c r="B49" s="31">
        <v>2020</v>
      </c>
      <c r="C49" s="27">
        <v>0.29658600400000001</v>
      </c>
      <c r="D49" s="24">
        <f t="shared" si="0"/>
        <v>0.37937435573392786</v>
      </c>
      <c r="E49" s="24">
        <f t="shared" si="1"/>
        <v>29.124411986193863</v>
      </c>
      <c r="F49" s="24">
        <f t="shared" si="2"/>
        <v>1.3476931628682602</v>
      </c>
      <c r="G49" s="24">
        <f t="shared" si="3"/>
        <v>3.7871511760548052E-2</v>
      </c>
      <c r="H49" s="24"/>
      <c r="I49" s="28">
        <v>-6.7914480999999999E-2</v>
      </c>
      <c r="J49" s="29">
        <v>-0.36450048600000001</v>
      </c>
      <c r="K49" s="26">
        <v>1224495624254</v>
      </c>
      <c r="L49" s="30">
        <v>3227671047731</v>
      </c>
      <c r="M49" s="30">
        <v>4452166671985</v>
      </c>
      <c r="N49" s="31">
        <v>48.49</v>
      </c>
      <c r="O49" s="31">
        <v>35.979999999999997</v>
      </c>
      <c r="P49" s="30">
        <v>168610282478</v>
      </c>
    </row>
    <row r="50" spans="1:17" s="26" customFormat="1" ht="39" customHeight="1">
      <c r="A50" s="24" t="s">
        <v>177</v>
      </c>
      <c r="B50" s="31">
        <v>2021</v>
      </c>
      <c r="C50" s="27">
        <v>0.30336951899999998</v>
      </c>
      <c r="D50" s="24">
        <f t="shared" si="0"/>
        <v>0.47092570170216669</v>
      </c>
      <c r="E50" s="24">
        <f t="shared" si="1"/>
        <v>29.064028347678988</v>
      </c>
      <c r="F50" s="24">
        <f t="shared" si="2"/>
        <v>1.0516157015831706</v>
      </c>
      <c r="G50" s="24">
        <f t="shared" si="3"/>
        <v>6.7125170731387851E-2</v>
      </c>
      <c r="H50" s="24"/>
      <c r="I50" s="28">
        <v>-8.1367229999999999E-2</v>
      </c>
      <c r="J50" s="29">
        <v>-0.38473674899999999</v>
      </c>
      <c r="K50" s="26">
        <v>1341864891951</v>
      </c>
      <c r="L50" s="30">
        <v>2849419530726</v>
      </c>
      <c r="M50" s="30">
        <v>4191284422677</v>
      </c>
      <c r="N50" s="31">
        <v>48.49</v>
      </c>
      <c r="O50" s="31">
        <v>46.11</v>
      </c>
      <c r="P50" s="30">
        <v>281340682456</v>
      </c>
    </row>
    <row r="51" spans="1:17" s="26" customFormat="1" ht="39" customHeight="1">
      <c r="A51" s="24" t="s">
        <v>177</v>
      </c>
      <c r="B51" s="31">
        <v>2022</v>
      </c>
      <c r="C51" s="27">
        <v>0.25868622400000002</v>
      </c>
      <c r="D51" s="24">
        <f t="shared" si="0"/>
        <v>0.57616025334039644</v>
      </c>
      <c r="E51" s="24">
        <f t="shared" si="1"/>
        <v>29.061086101342561</v>
      </c>
      <c r="F51" s="24">
        <f t="shared" si="2"/>
        <v>1.0516157015831706</v>
      </c>
      <c r="G51" s="24">
        <f t="shared" si="3"/>
        <v>6.2928999352053455E-2</v>
      </c>
      <c r="H51" s="24"/>
      <c r="I51" s="28">
        <v>-5.5597503999999999E-2</v>
      </c>
      <c r="J51" s="29">
        <v>-0.31428372799999998</v>
      </c>
      <c r="K51" s="26">
        <v>1449163077319</v>
      </c>
      <c r="L51" s="30">
        <v>2515208345104</v>
      </c>
      <c r="M51" s="30">
        <v>4178970755244</v>
      </c>
      <c r="N51" s="31">
        <v>48.49</v>
      </c>
      <c r="O51" s="31">
        <v>46.11</v>
      </c>
      <c r="P51" s="30">
        <v>262978447949</v>
      </c>
    </row>
    <row r="52" spans="1:17" s="26" customFormat="1" ht="39" customHeight="1">
      <c r="A52" s="24" t="s">
        <v>178</v>
      </c>
      <c r="B52" s="31">
        <v>2018</v>
      </c>
      <c r="C52" s="27">
        <v>0.83859753400000003</v>
      </c>
      <c r="D52" s="24">
        <f t="shared" si="0"/>
        <v>0.7022927987685339</v>
      </c>
      <c r="E52" s="24">
        <f t="shared" si="1"/>
        <v>28.202772100477794</v>
      </c>
      <c r="F52" s="24">
        <f t="shared" si="2"/>
        <v>0.14981273408239701</v>
      </c>
      <c r="G52" s="24">
        <f t="shared" si="3"/>
        <v>9.0069656548189218E-3</v>
      </c>
      <c r="H52" s="24"/>
      <c r="I52" s="28">
        <v>4.4210603000000001E-2</v>
      </c>
      <c r="J52" s="29">
        <v>-0.79438693100000002</v>
      </c>
      <c r="K52" s="26">
        <v>730789419438</v>
      </c>
      <c r="L52" s="30">
        <v>1040576552571</v>
      </c>
      <c r="M52" s="30">
        <v>1771365972009</v>
      </c>
      <c r="N52" s="31">
        <v>1.2</v>
      </c>
      <c r="O52" s="31">
        <v>8.01</v>
      </c>
      <c r="P52" s="30">
        <v>15954632472</v>
      </c>
    </row>
    <row r="53" spans="1:17" s="26" customFormat="1" ht="39" customHeight="1">
      <c r="A53" s="24" t="s">
        <v>178</v>
      </c>
      <c r="B53" s="31">
        <v>2019</v>
      </c>
      <c r="C53" s="27">
        <v>0.86948747500000001</v>
      </c>
      <c r="D53" s="24">
        <f t="shared" si="0"/>
        <v>0.75743148735263199</v>
      </c>
      <c r="E53" s="24">
        <f t="shared" si="1"/>
        <v>28.230068228249788</v>
      </c>
      <c r="F53" s="24">
        <f t="shared" si="2"/>
        <v>0.49382716049382713</v>
      </c>
      <c r="G53" s="24">
        <f t="shared" si="3"/>
        <v>5.2580631245718575E-4</v>
      </c>
      <c r="H53" s="24"/>
      <c r="I53" s="28">
        <v>4.6208803E-2</v>
      </c>
      <c r="J53" s="29">
        <v>-0.82327867200000004</v>
      </c>
      <c r="K53" s="26">
        <v>784562971811</v>
      </c>
      <c r="L53" s="30">
        <v>1035820381000</v>
      </c>
      <c r="M53" s="30">
        <v>1820383352811</v>
      </c>
      <c r="N53" s="31">
        <v>1.2</v>
      </c>
      <c r="O53" s="31">
        <v>2.4300000000000002</v>
      </c>
      <c r="P53" s="30">
        <v>957169058</v>
      </c>
    </row>
    <row r="54" spans="1:17" s="26" customFormat="1">
      <c r="A54" s="24" t="s">
        <v>178</v>
      </c>
      <c r="B54" s="31">
        <v>2020</v>
      </c>
      <c r="C54" s="32">
        <v>1821052947</v>
      </c>
      <c r="D54" s="24">
        <f t="shared" si="0"/>
        <v>0.83855952927069533</v>
      </c>
      <c r="E54" s="24">
        <f t="shared" si="1"/>
        <v>28.201243622785679</v>
      </c>
      <c r="F54" s="24">
        <f t="shared" si="2"/>
        <v>0.20033388981636058</v>
      </c>
      <c r="G54" s="24">
        <f t="shared" si="3"/>
        <v>3.0620583570654309E-3</v>
      </c>
      <c r="H54" s="24"/>
      <c r="I54" s="28">
        <v>-7.8509530000000008E-3</v>
      </c>
      <c r="J54" s="29">
        <v>-1.8289039</v>
      </c>
      <c r="K54" s="26">
        <v>806678887419</v>
      </c>
      <c r="L54" s="30">
        <v>961981659335</v>
      </c>
      <c r="M54" s="30">
        <v>1768660546754</v>
      </c>
      <c r="N54" s="31">
        <v>1.2</v>
      </c>
      <c r="O54" s="31">
        <v>5.99</v>
      </c>
      <c r="P54" s="30">
        <v>5415741808</v>
      </c>
    </row>
    <row r="55" spans="1:17" s="26" customFormat="1">
      <c r="A55" s="24" t="s">
        <v>178</v>
      </c>
      <c r="B55" s="31">
        <v>2021</v>
      </c>
      <c r="C55" s="32">
        <v>1368831593</v>
      </c>
      <c r="D55" s="24">
        <f t="shared" si="0"/>
        <v>0.98534702414652475</v>
      </c>
      <c r="E55" s="24">
        <f t="shared" si="1"/>
        <v>28.309271954893294</v>
      </c>
      <c r="F55" s="24">
        <f t="shared" si="2"/>
        <v>7.0134424313267094E-2</v>
      </c>
      <c r="G55" s="24">
        <f t="shared" si="3"/>
        <v>1.5076632992913088E-2</v>
      </c>
      <c r="H55" s="24"/>
      <c r="I55" s="28">
        <v>4.1681175000000001E-2</v>
      </c>
      <c r="J55" s="29">
        <v>-1.327150418</v>
      </c>
      <c r="K55" s="26">
        <v>977942627046</v>
      </c>
      <c r="L55" s="30">
        <v>992485493010</v>
      </c>
      <c r="M55" s="30">
        <v>1970428120056</v>
      </c>
      <c r="N55" s="31">
        <v>1.2</v>
      </c>
      <c r="O55" s="31">
        <v>17.11</v>
      </c>
      <c r="P55" s="30">
        <v>29707421605</v>
      </c>
    </row>
    <row r="56" spans="1:17" s="26" customFormat="1" ht="39" customHeight="1">
      <c r="A56" s="24" t="s">
        <v>178</v>
      </c>
      <c r="B56" s="31">
        <v>2022</v>
      </c>
      <c r="C56" s="27">
        <v>0.50468625899999997</v>
      </c>
      <c r="D56" s="24">
        <f t="shared" si="0"/>
        <v>0.92971574436930426</v>
      </c>
      <c r="E56" s="24">
        <f t="shared" si="1"/>
        <v>28.339783729086971</v>
      </c>
      <c r="F56" s="24">
        <f t="shared" si="2"/>
        <v>7.0134424313267094E-2</v>
      </c>
      <c r="G56" s="24">
        <f t="shared" si="3"/>
        <v>2.5744902416126664E-2</v>
      </c>
      <c r="H56" s="24"/>
      <c r="I56" s="28">
        <v>-1.9201229E-2</v>
      </c>
      <c r="J56" s="29">
        <v>-0.52388748699999999</v>
      </c>
      <c r="K56" s="26">
        <v>968233866594</v>
      </c>
      <c r="L56" s="30">
        <v>1041429998855</v>
      </c>
      <c r="M56" s="30">
        <v>2031475981134</v>
      </c>
      <c r="N56" s="31">
        <v>1.2</v>
      </c>
      <c r="O56" s="31">
        <v>17.11</v>
      </c>
      <c r="P56" s="30">
        <v>52300150895</v>
      </c>
    </row>
    <row r="57" spans="1:17" s="10" customFormat="1" ht="26.25" customHeight="1" thickBot="1">
      <c r="A57" s="23" t="s">
        <v>179</v>
      </c>
      <c r="B57" s="20">
        <v>2018</v>
      </c>
      <c r="C57" s="11">
        <v>0.50361238500000005</v>
      </c>
      <c r="D57" s="10">
        <f t="shared" si="0"/>
        <v>0.59815905777322342</v>
      </c>
      <c r="E57" s="10">
        <f t="shared" si="1"/>
        <v>28.598457259067484</v>
      </c>
      <c r="F57" s="10">
        <f t="shared" si="2"/>
        <v>0.39186900056465274</v>
      </c>
      <c r="G57" s="10">
        <f t="shared" si="3"/>
        <v>9.6948112616813284E-2</v>
      </c>
      <c r="I57" s="12">
        <v>4.3040350000000003E-3</v>
      </c>
      <c r="J57" s="13">
        <v>-0.49930835000000001</v>
      </c>
      <c r="K57" s="8">
        <v>984801863078</v>
      </c>
      <c r="L57" s="14">
        <v>1646387946952</v>
      </c>
      <c r="M57" s="14">
        <v>2631189810030</v>
      </c>
      <c r="N57" s="17">
        <v>76.34</v>
      </c>
      <c r="O57" s="18">
        <v>194.81</v>
      </c>
      <c r="P57" s="14">
        <v>255088886019</v>
      </c>
      <c r="Q57" s="8"/>
    </row>
    <row r="58" spans="1:17" s="10" customFormat="1" ht="39" customHeight="1" thickBot="1">
      <c r="A58" s="23" t="s">
        <v>179</v>
      </c>
      <c r="B58" s="20">
        <v>2019</v>
      </c>
      <c r="C58" s="11">
        <v>0.56146021899999998</v>
      </c>
      <c r="D58" s="10">
        <f t="shared" si="0"/>
        <v>0.34150543887835866</v>
      </c>
      <c r="E58" s="10">
        <f t="shared" si="1"/>
        <v>28.689354000331711</v>
      </c>
      <c r="F58" s="10">
        <f t="shared" si="2"/>
        <v>0.2072147878722076</v>
      </c>
      <c r="G58" s="10">
        <f t="shared" si="3"/>
        <v>0.16747525866336505</v>
      </c>
      <c r="I58" s="12">
        <v>-6.5869400000000003E-3</v>
      </c>
      <c r="J58" s="13">
        <v>-0.56804715800000005</v>
      </c>
      <c r="K58" s="8">
        <v>733556075974</v>
      </c>
      <c r="L58" s="14">
        <v>2148007007980</v>
      </c>
      <c r="M58" s="14">
        <v>2881563083954</v>
      </c>
      <c r="N58" s="17">
        <v>76.34</v>
      </c>
      <c r="O58" s="18">
        <v>368.41</v>
      </c>
      <c r="P58" s="14">
        <v>482590522840</v>
      </c>
      <c r="Q58" s="8"/>
    </row>
    <row r="59" spans="1:17" s="10" customFormat="1" ht="39" customHeight="1" thickBot="1">
      <c r="A59" s="23" t="s">
        <v>179</v>
      </c>
      <c r="B59" s="20">
        <v>2020</v>
      </c>
      <c r="C59" s="11">
        <v>0.54918177800000001</v>
      </c>
      <c r="D59" s="10">
        <f t="shared" si="0"/>
        <v>0.29016473395537429</v>
      </c>
      <c r="E59" s="10">
        <f t="shared" si="1"/>
        <v>28.869104017548796</v>
      </c>
      <c r="F59" s="10">
        <f>N59/O59</f>
        <v>0.15910132966529117</v>
      </c>
      <c r="G59" s="10">
        <f t="shared" si="3"/>
        <v>0.18226436067162916</v>
      </c>
      <c r="I59" s="12">
        <v>-0.103283107</v>
      </c>
      <c r="J59" s="13">
        <v>-0.65246488499999999</v>
      </c>
      <c r="K59" s="8">
        <v>775696860738</v>
      </c>
      <c r="L59" s="14">
        <v>2673298199144</v>
      </c>
      <c r="M59" s="14">
        <v>3448995059882</v>
      </c>
      <c r="N59" s="17">
        <v>76.34</v>
      </c>
      <c r="O59" s="18">
        <v>479.82</v>
      </c>
      <c r="P59" s="14">
        <v>628628879549</v>
      </c>
      <c r="Q59" s="8"/>
    </row>
    <row r="60" spans="1:17" s="10" customFormat="1" ht="39" customHeight="1" thickBot="1">
      <c r="A60" s="23" t="s">
        <v>179</v>
      </c>
      <c r="B60" s="20">
        <v>2021</v>
      </c>
      <c r="C60" s="11">
        <v>0.53907139699999995</v>
      </c>
      <c r="D60" s="10">
        <f t="shared" si="0"/>
        <v>0.18734426565287515</v>
      </c>
      <c r="E60" s="10">
        <f t="shared" si="1"/>
        <v>28.996919813296635</v>
      </c>
      <c r="F60" s="10">
        <f t="shared" si="2"/>
        <v>0.15910132966529117</v>
      </c>
      <c r="G60" s="10">
        <f t="shared" si="3"/>
        <v>0.15757473040625275</v>
      </c>
      <c r="I60" s="12">
        <v>-1.9655900000000001E-3</v>
      </c>
      <c r="J60" s="13">
        <v>-0.54103698700000002</v>
      </c>
      <c r="K60" s="8">
        <v>618395061219</v>
      </c>
      <c r="L60" s="14">
        <v>3300848622529</v>
      </c>
      <c r="M60" s="14">
        <v>3919243683748</v>
      </c>
      <c r="N60" s="17">
        <v>76.34</v>
      </c>
      <c r="O60" s="18">
        <v>479.82</v>
      </c>
      <c r="P60" s="14">
        <v>617573766863</v>
      </c>
      <c r="Q60" s="8"/>
    </row>
    <row r="61" spans="1:17" s="10" customFormat="1" ht="39" customHeight="1" thickBot="1">
      <c r="A61" s="23" t="s">
        <v>179</v>
      </c>
      <c r="B61" s="20">
        <v>2022</v>
      </c>
      <c r="C61" s="11">
        <v>0.50784463899999999</v>
      </c>
      <c r="D61" s="10">
        <f t="shared" si="0"/>
        <v>0</v>
      </c>
      <c r="E61" s="10">
        <f t="shared" si="1"/>
        <v>29.104252475805076</v>
      </c>
      <c r="F61" s="10">
        <f t="shared" si="2"/>
        <v>0.15910132966529117</v>
      </c>
      <c r="G61" s="10">
        <f t="shared" si="3"/>
        <v>9.6095009457183911E-2</v>
      </c>
      <c r="I61" s="12">
        <v>1.1832229999999999E-2</v>
      </c>
      <c r="J61" s="13">
        <v>-0.49601240800000002</v>
      </c>
      <c r="K61" s="8"/>
      <c r="L61" s="14">
        <v>3704302513177</v>
      </c>
      <c r="M61" s="14">
        <v>4363311816144</v>
      </c>
      <c r="N61" s="17">
        <v>76.34</v>
      </c>
      <c r="O61" s="18">
        <v>479.82</v>
      </c>
      <c r="P61" s="14">
        <v>419292490237</v>
      </c>
      <c r="Q61" s="8"/>
    </row>
    <row r="62" spans="1:17" s="26" customFormat="1">
      <c r="A62" s="24" t="s">
        <v>180</v>
      </c>
      <c r="B62" s="31">
        <v>2018</v>
      </c>
      <c r="C62" s="32">
        <v>9625138827</v>
      </c>
      <c r="D62" s="24">
        <f t="shared" si="0"/>
        <v>2.4158084595419029</v>
      </c>
      <c r="E62" s="24">
        <f t="shared" si="1"/>
        <v>30.424632064588316</v>
      </c>
      <c r="F62" s="24">
        <f t="shared" si="2"/>
        <v>0.21150592216582065</v>
      </c>
      <c r="G62" s="24">
        <f t="shared" si="3"/>
        <v>4.6779922246846309E-2</v>
      </c>
      <c r="H62" s="24"/>
      <c r="I62" s="28">
        <v>6.0552165999999998E-2</v>
      </c>
      <c r="J62" s="33">
        <v>-9.564586662</v>
      </c>
      <c r="K62" s="26">
        <v>11556300000000</v>
      </c>
      <c r="L62" s="30">
        <v>4783616000000</v>
      </c>
      <c r="M62" s="30">
        <v>16339916000000</v>
      </c>
      <c r="N62" s="31">
        <v>30</v>
      </c>
      <c r="O62" s="31">
        <v>141.84</v>
      </c>
      <c r="P62" s="30">
        <v>764380000000</v>
      </c>
    </row>
    <row r="63" spans="1:17" s="26" customFormat="1">
      <c r="A63" s="24" t="s">
        <v>180</v>
      </c>
      <c r="B63" s="31">
        <v>2019</v>
      </c>
      <c r="C63" s="32">
        <v>8131375879</v>
      </c>
      <c r="D63" s="24">
        <f t="shared" si="0"/>
        <v>2.2376000480334981</v>
      </c>
      <c r="E63" s="24">
        <f t="shared" si="1"/>
        <v>30.485362794071737</v>
      </c>
      <c r="F63" s="24">
        <f t="shared" si="2"/>
        <v>0.20148291424887169</v>
      </c>
      <c r="G63" s="24">
        <f t="shared" si="3"/>
        <v>3.8071409651890285E-2</v>
      </c>
      <c r="H63" s="24"/>
      <c r="I63" s="28">
        <v>-2.8420526000000002E-2</v>
      </c>
      <c r="J63" s="33">
        <v>-8.1597964049999998</v>
      </c>
      <c r="K63" s="26">
        <v>12000079000000</v>
      </c>
      <c r="L63" s="30">
        <v>5362924000000</v>
      </c>
      <c r="M63" s="30">
        <v>17363003000000</v>
      </c>
      <c r="N63" s="31">
        <v>25</v>
      </c>
      <c r="O63" s="31">
        <v>124.08</v>
      </c>
      <c r="P63" s="30">
        <v>661034000000</v>
      </c>
    </row>
    <row r="64" spans="1:17" s="26" customFormat="1">
      <c r="A64" s="24" t="s">
        <v>180</v>
      </c>
      <c r="B64" s="31">
        <v>2020</v>
      </c>
      <c r="C64" s="32">
        <v>7582787575</v>
      </c>
      <c r="D64" s="24">
        <f t="shared" si="0"/>
        <v>2.2996719566584751</v>
      </c>
      <c r="E64" s="24">
        <f t="shared" si="1"/>
        <v>30.597905923681228</v>
      </c>
      <c r="F64" s="24">
        <f t="shared" si="2"/>
        <v>0.19496217733759652</v>
      </c>
      <c r="G64" s="24">
        <f t="shared" si="3"/>
        <v>3.5032666122630132E-2</v>
      </c>
      <c r="H64" s="24"/>
      <c r="I64" s="28">
        <v>3.7003679999999997E-2</v>
      </c>
      <c r="J64" s="33">
        <v>-7.5457838959999997</v>
      </c>
      <c r="K64" s="26">
        <v>13542437000000</v>
      </c>
      <c r="L64" s="30">
        <v>5888856000000</v>
      </c>
      <c r="M64" s="30">
        <v>19431293000000</v>
      </c>
      <c r="N64" s="31">
        <v>25</v>
      </c>
      <c r="O64" s="31">
        <v>128.22999999999999</v>
      </c>
      <c r="P64" s="30">
        <v>680730000000</v>
      </c>
    </row>
    <row r="65" spans="1:16" s="26" customFormat="1">
      <c r="A65" s="24" t="s">
        <v>180</v>
      </c>
      <c r="B65" s="31">
        <v>2021</v>
      </c>
      <c r="C65" s="32">
        <v>6376341107</v>
      </c>
      <c r="D65" s="24">
        <f t="shared" si="0"/>
        <v>2.6567229643245867</v>
      </c>
      <c r="E65" s="24">
        <f t="shared" si="1"/>
        <v>30.679536381219798</v>
      </c>
      <c r="F65" s="24">
        <f t="shared" si="2"/>
        <v>0.16572754391779915</v>
      </c>
      <c r="G65" s="24">
        <f t="shared" si="3"/>
        <v>3.7560015247568808E-2</v>
      </c>
      <c r="H65" s="24"/>
      <c r="I65" s="28">
        <v>-3.8084649999999998E-2</v>
      </c>
      <c r="J65" s="33">
        <v>-6.4144257570000001</v>
      </c>
      <c r="K65" s="26">
        <v>14591663000000</v>
      </c>
      <c r="L65" s="30">
        <v>5492354000000</v>
      </c>
      <c r="M65" s="30">
        <v>21084017000000</v>
      </c>
      <c r="N65" s="31">
        <v>25</v>
      </c>
      <c r="O65" s="31">
        <v>150.85</v>
      </c>
      <c r="P65" s="30">
        <v>791916000000</v>
      </c>
    </row>
    <row r="66" spans="1:16" s="26" customFormat="1">
      <c r="A66" s="24" t="s">
        <v>180</v>
      </c>
      <c r="B66" s="31">
        <v>2022</v>
      </c>
      <c r="C66" s="32">
        <v>6536547322</v>
      </c>
      <c r="D66" s="24">
        <f t="shared" si="0"/>
        <v>2.4491662406918753</v>
      </c>
      <c r="E66" s="24">
        <f t="shared" si="1"/>
        <v>30.74400579549102</v>
      </c>
      <c r="F66" s="24">
        <f t="shared" si="2"/>
        <v>0.16572754391779915</v>
      </c>
      <c r="G66" s="24">
        <f t="shared" si="3"/>
        <v>1.6999373534333593E-2</v>
      </c>
      <c r="H66" s="24"/>
      <c r="I66" s="28">
        <v>6.1839022E-2</v>
      </c>
      <c r="J66" s="33">
        <v>-6.4747082999999996</v>
      </c>
      <c r="K66" s="26">
        <v>16841410000000</v>
      </c>
      <c r="L66" s="30">
        <v>6876385000000</v>
      </c>
      <c r="M66" s="30">
        <v>22488064000000</v>
      </c>
      <c r="N66" s="31">
        <v>25</v>
      </c>
      <c r="O66" s="31">
        <v>150.85</v>
      </c>
      <c r="P66" s="30">
        <v>382283000000</v>
      </c>
    </row>
    <row r="67" spans="1:16" s="26" customFormat="1">
      <c r="A67" s="24" t="s">
        <v>181</v>
      </c>
      <c r="B67" s="31">
        <v>2018</v>
      </c>
      <c r="C67" s="32">
        <v>2054378891</v>
      </c>
      <c r="D67" s="24">
        <f t="shared" ref="D67:D71" si="4">K67/L67</f>
        <v>0.16354391537848725</v>
      </c>
      <c r="E67" s="24">
        <f t="shared" ref="E67:E71" si="5">LN(M67)</f>
        <v>29.34587632240855</v>
      </c>
      <c r="F67" s="24">
        <f t="shared" ref="F67:F71" si="6">N67/O67</f>
        <v>0.2</v>
      </c>
      <c r="G67" s="24">
        <f t="shared" ref="G67:G71" si="7">P67/M67</f>
        <v>0.12628208970294666</v>
      </c>
      <c r="H67" s="24"/>
      <c r="I67" s="28">
        <v>2.4301878999999998E-2</v>
      </c>
      <c r="J67" s="33">
        <v>-2.030077012</v>
      </c>
      <c r="K67" s="26">
        <v>780915000000</v>
      </c>
      <c r="L67" s="30">
        <v>4774956000000</v>
      </c>
      <c r="M67" s="30">
        <v>5555871000000</v>
      </c>
      <c r="N67" s="31">
        <v>12</v>
      </c>
      <c r="O67" s="31">
        <v>60</v>
      </c>
      <c r="P67" s="30">
        <v>701607000000</v>
      </c>
    </row>
    <row r="68" spans="1:16" s="26" customFormat="1">
      <c r="A68" s="24" t="s">
        <v>181</v>
      </c>
      <c r="B68" s="31">
        <v>2019</v>
      </c>
      <c r="C68" s="32">
        <v>1985633321</v>
      </c>
      <c r="D68" s="24">
        <f t="shared" si="4"/>
        <v>0.16856933136391519</v>
      </c>
      <c r="E68" s="24">
        <f t="shared" si="5"/>
        <v>29.519366012093606</v>
      </c>
      <c r="F68" s="24">
        <f t="shared" si="6"/>
        <v>0.1348314606741573</v>
      </c>
      <c r="G68" s="24">
        <f t="shared" si="7"/>
        <v>0.15674922091839777</v>
      </c>
      <c r="H68" s="24"/>
      <c r="I68" s="28">
        <v>-1.0970737E-2</v>
      </c>
      <c r="J68" s="33">
        <v>-1.996604058</v>
      </c>
      <c r="K68" s="26">
        <v>953283000000</v>
      </c>
      <c r="L68" s="30">
        <v>5655139000000</v>
      </c>
      <c r="M68" s="30">
        <v>6608422000000</v>
      </c>
      <c r="N68" s="31">
        <v>12</v>
      </c>
      <c r="O68" s="31">
        <v>89</v>
      </c>
      <c r="P68" s="30">
        <v>1035865000000</v>
      </c>
    </row>
    <row r="69" spans="1:16" s="26" customFormat="1">
      <c r="A69" s="24" t="s">
        <v>181</v>
      </c>
      <c r="B69" s="31">
        <v>2020</v>
      </c>
      <c r="C69" s="32">
        <v>21441854</v>
      </c>
      <c r="D69" s="24">
        <f t="shared" si="4"/>
        <v>0.83073975001134526</v>
      </c>
      <c r="E69" s="24">
        <f t="shared" si="5"/>
        <v>29.800545105694674</v>
      </c>
      <c r="F69" s="24">
        <f t="shared" si="6"/>
        <v>0.85</v>
      </c>
      <c r="G69" s="24">
        <f t="shared" si="7"/>
        <v>0.12675934383323229</v>
      </c>
      <c r="H69" s="24"/>
      <c r="I69" s="28">
        <v>-1.6251535000000001E-2</v>
      </c>
      <c r="J69" s="33">
        <v>-2.1604369349999999</v>
      </c>
      <c r="K69" s="26">
        <v>3972379000000</v>
      </c>
      <c r="L69" s="30">
        <v>4781737000000</v>
      </c>
      <c r="M69" s="30">
        <v>8754116000000</v>
      </c>
      <c r="N69" s="31">
        <v>85</v>
      </c>
      <c r="O69" s="31">
        <v>100</v>
      </c>
      <c r="P69" s="30">
        <v>1109666000000</v>
      </c>
    </row>
    <row r="70" spans="1:16" s="26" customFormat="1">
      <c r="A70" s="24" t="s">
        <v>181</v>
      </c>
      <c r="B70" s="31">
        <v>2021</v>
      </c>
      <c r="C70" s="32">
        <v>1869641559</v>
      </c>
      <c r="D70" s="24">
        <f t="shared" si="4"/>
        <v>0.44154814420666211</v>
      </c>
      <c r="E70" s="24">
        <f t="shared" si="5"/>
        <v>29.633427173701463</v>
      </c>
      <c r="F70" s="24">
        <f t="shared" si="6"/>
        <v>0.69672131147540983</v>
      </c>
      <c r="G70" s="24">
        <f t="shared" si="7"/>
        <v>0.1723798869587852</v>
      </c>
      <c r="H70" s="24"/>
      <c r="I70" s="28">
        <v>1.911181E-2</v>
      </c>
      <c r="J70" s="33">
        <v>-1.8505297489999999</v>
      </c>
      <c r="K70" s="26">
        <v>2268730000000</v>
      </c>
      <c r="L70" s="30">
        <v>5138126000000</v>
      </c>
      <c r="M70" s="30">
        <v>7406856000000</v>
      </c>
      <c r="N70" s="31">
        <v>85</v>
      </c>
      <c r="O70" s="31">
        <v>122</v>
      </c>
      <c r="P70" s="30">
        <v>1276793000000</v>
      </c>
    </row>
    <row r="71" spans="1:16" s="26" customFormat="1">
      <c r="A71" s="24" t="s">
        <v>181</v>
      </c>
      <c r="B71" s="31">
        <v>2022</v>
      </c>
      <c r="C71" s="32">
        <v>2267423274</v>
      </c>
      <c r="D71" s="24">
        <f t="shared" si="4"/>
        <v>0.27202074625303019</v>
      </c>
      <c r="E71" s="24">
        <f t="shared" si="5"/>
        <v>29.716826490401907</v>
      </c>
      <c r="F71" s="24">
        <f t="shared" si="6"/>
        <v>0.69672131147540983</v>
      </c>
      <c r="G71" s="24">
        <f t="shared" si="7"/>
        <v>0.10381585162623665</v>
      </c>
      <c r="H71" s="24"/>
      <c r="I71" s="28">
        <v>7.1239538000000005E-2</v>
      </c>
      <c r="J71" s="33">
        <v>-2.1961837360000001</v>
      </c>
      <c r="K71" s="26">
        <v>1553696000000</v>
      </c>
      <c r="L71" s="30">
        <v>5711682000000</v>
      </c>
      <c r="M71" s="30">
        <v>8051073000000</v>
      </c>
      <c r="N71" s="31">
        <v>85</v>
      </c>
      <c r="O71" s="31">
        <v>122</v>
      </c>
      <c r="P71" s="30">
        <v>835829000000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Populasi</vt:lpstr>
      <vt:lpstr>IPO sebelum 2018</vt:lpstr>
      <vt:lpstr>Data (Hitung)</vt:lpstr>
      <vt:lpstr>Data Fix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</dc:creator>
  <cp:lastModifiedBy>aku</cp:lastModifiedBy>
  <dcterms:created xsi:type="dcterms:W3CDTF">2023-04-21T15:39:12Z</dcterms:created>
  <dcterms:modified xsi:type="dcterms:W3CDTF">2023-04-27T19:11:00Z</dcterms:modified>
</cp:coreProperties>
</file>